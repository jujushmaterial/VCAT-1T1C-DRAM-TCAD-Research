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4db64e435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ed_Metrics" sheetId="1" r:id="R2b87268ae4c647f5"/>
    <x:sheet xmlns:r="http://schemas.openxmlformats.org/officeDocument/2006/relationships" name="Summary" sheetId="2" r:id="R28ea1554940942ec"/>
    <x:sheet xmlns:r="http://schemas.openxmlformats.org/officeDocument/2006/relationships" name="Source_Map" sheetId="3" r:id="Re099f8f5b3b5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0"/>
    <x:numFmt numFmtId="201" formatCode="0.000000"/>
    <x:numFmt numFmtId="202" formatCode="0.000000E+00"/>
    <x:numFmt numFmtId="203" formatCode="0.0000"/>
    <x:numFmt numFmtId="204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ed1ae8c59403d" /><Relationship Type="http://schemas.openxmlformats.org/officeDocument/2006/relationships/theme" Target="/xl/theme/theme1.xml" Id="Rb60ae1e17b044da9" /><Relationship Type="http://schemas.openxmlformats.org/officeDocument/2006/relationships/sharedStrings" Target="/xl/sharedStrings.xml" Id="R0f00d4c722c54472" /><Relationship Type="http://schemas.openxmlformats.org/officeDocument/2006/relationships/worksheet" Target="/xl/worksheets/sheet1.xml" Id="R2b87268ae4c647f5" /><Relationship Type="http://schemas.openxmlformats.org/officeDocument/2006/relationships/worksheet" Target="/xl/worksheets/sheet2.xml" Id="R28ea1554940942ec" /><Relationship Type="http://schemas.openxmlformats.org/officeDocument/2006/relationships/worksheet" Target="/xl/worksheets/sheet3.xml" Id="Re099f8f5b3b5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4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34" hidden="0" customWidth="1"/>
    <x:col min="10" max="10" width="24" hidden="0" customWidth="1"/>
  </x:cols>
  <x:sheetData>
    <x:row r="1">
      <x:c r="A1" s="3" t="str">
        <x:v>Forward / Reverse extracted metrics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Geometry</x:v>
      </x:c>
      <x:c r="B3" s="10" t="str">
        <x:v>Direction</x:v>
      </x:c>
      <x:c r="C3" s="10" t="str">
        <x:v>Vd (V)</x:v>
      </x:c>
      <x:c r="D3" s="10" t="str">
        <x:v>Ratio</x:v>
      </x:c>
      <x:c r="E3" s="10" t="str">
        <x:v>Vth (V)</x:v>
      </x:c>
      <x:c r="F3" s="10" t="str">
        <x:v>SS (mV/dec)</x:v>
      </x:c>
      <x:c r="G3" s="10" t="str">
        <x:v>Ioff (A)</x:v>
      </x:c>
      <x:c r="H3" s="10" t="str">
        <x:v>Ion (A)</x:v>
      </x:c>
      <x:c r="I3" s="10" t="str">
        <x:v>Source CSV</x:v>
      </x:c>
      <x:c r="J3" s="10" t="str">
        <x:v>Current terminal</x:v>
      </x:c>
    </x:row>
    <x:row r="4">
      <x:c r="A4" t="str">
        <x:v>G0</x:v>
      </x:c>
      <x:c r="B4" t="str">
        <x:v>FWD</x:v>
      </x:c>
      <x:c r="C4" t="n">
        <x:v>0.05</x:v>
      </x:c>
      <x:c r="D4" t="str">
        <x:v>1:1:1</x:v>
      </x:c>
      <x:c r="E4" s="16" t="n">
        <x:v>0.4660103058405787</x:v>
      </x:c>
      <x:c r="F4" s="18" t="n">
        <x:v>61.387719397353145</x:v>
      </x:c>
      <x:c r="G4" s="20" t="n">
        <x:v>2.7956443e-15</x:v>
      </x:c>
      <x:c r="H4" s="20" t="n">
        <x:v>0.0000031425152</x:v>
      </x:c>
      <x:c r="I4" t="str">
        <x:v>P03-T15-O05_G0_FWD_Vd0p05.csv</x:v>
      </x:c>
      <x:c r="J4" t="str">
        <x:v>storage TotalCurrent</x:v>
      </x:c>
    </x:row>
    <x:row r="5">
      <x:c r="A5" t="str">
        <x:v>G0</x:v>
      </x:c>
      <x:c r="B5" t="str">
        <x:v>FWD</x:v>
      </x:c>
      <x:c r="C5" t="n">
        <x:v>1</x:v>
      </x:c>
      <x:c r="D5" t="str">
        <x:v>1:1:1</x:v>
      </x:c>
      <x:c r="E5" s="16" t="n">
        <x:v>0.4610557588603632</x:v>
      </x:c>
      <x:c r="F5" s="18" t="n">
        <x:v>60.764923201687516</x:v>
      </x:c>
      <x:c r="G5" s="20" t="n">
        <x:v>2.8051768e-15</x:v>
      </x:c>
      <x:c r="H5" s="20" t="n">
        <x:v>0.000010815893</x:v>
      </x:c>
      <x:c r="I5" t="str">
        <x:v>P03-T15-O05_G0_FWD_Vd1p0.csv</x:v>
      </x:c>
      <x:c r="J5" t="str">
        <x:v>storage TotalCurrent</x:v>
      </x:c>
    </x:row>
    <x:row r="6">
      <x:c r="A6" t="str">
        <x:v>G0</x:v>
      </x:c>
      <x:c r="B6" t="str">
        <x:v>REV</x:v>
      </x:c>
      <x:c r="C6" t="n">
        <x:v>0.05</x:v>
      </x:c>
      <x:c r="D6" t="str">
        <x:v>1:1:1</x:v>
      </x:c>
      <x:c r="E6" s="16" t="n">
        <x:v>0.46601180095138833</x:v>
      </x:c>
      <x:c r="F6" s="18" t="n">
        <x:v>61.38988792437695</x:v>
      </x:c>
      <x:c r="G6" s="20" t="n">
        <x:v>2.7956838e-15</x:v>
      </x:c>
      <x:c r="H6" s="20" t="n">
        <x:v>0.0000031423253</x:v>
      </x:c>
      <x:c r="I6" t="str">
        <x:v>P03-T15-O05_G0_REV_Vd0p05.csv</x:v>
      </x:c>
      <x:c r="J6" t="str">
        <x:v>bitline TotalCurrent</x:v>
      </x:c>
    </x:row>
    <x:row r="7">
      <x:c r="A7" t="str">
        <x:v>G0</x:v>
      </x:c>
      <x:c r="B7" t="str">
        <x:v>REV</x:v>
      </x:c>
      <x:c r="C7" t="n">
        <x:v>1</x:v>
      </x:c>
      <x:c r="D7" t="str">
        <x:v>1:1:1</x:v>
      </x:c>
      <x:c r="E7" s="16" t="n">
        <x:v>0.4610566703066803</x:v>
      </x:c>
      <x:c r="F7" s="18" t="n">
        <x:v>60.765088976909524</x:v>
      </x:c>
      <x:c r="G7" s="20" t="n">
        <x:v>2.8052246e-15</x:v>
      </x:c>
      <x:c r="H7" s="20" t="n">
        <x:v>0.000010813099</x:v>
      </x:c>
      <x:c r="I7" t="str">
        <x:v>P03-T15-O05_G0_REV_Vd1p0.csv</x:v>
      </x:c>
      <x:c r="J7" t="str">
        <x:v>bitline TotalCurrent</x:v>
      </x:c>
    </x:row>
    <x:row r="8">
      <x:c r="A8" t="str">
        <x:v>G2</x:v>
      </x:c>
      <x:c r="B8" t="str">
        <x:v>FWD</x:v>
      </x:c>
      <x:c r="C8" t="n">
        <x:v>0.05</x:v>
      </x:c>
      <x:c r="D8" t="str">
        <x:v>1:2:1</x:v>
      </x:c>
      <x:c r="E8" s="16" t="n">
        <x:v>0.4848285601510774</x:v>
      </x:c>
      <x:c r="F8" s="18" t="n">
        <x:v>60.400776764268365</x:v>
      </x:c>
      <x:c r="G8" s="20" t="n">
        <x:v>9.9341751e-16</x:v>
      </x:c>
      <x:c r="H8" s="20" t="n">
        <x:v>0.000003126841</x:v>
      </x:c>
      <x:c r="I8" t="str">
        <x:v>P03-T15-O05_G2_FWD_Vd0p05.csv</x:v>
      </x:c>
      <x:c r="J8" t="str">
        <x:v>storage TotalCurrent</x:v>
      </x:c>
    </x:row>
    <x:row r="9">
      <x:c r="A9" t="str">
        <x:v>G2</x:v>
      </x:c>
      <x:c r="B9" t="str">
        <x:v>FWD</x:v>
      </x:c>
      <x:c r="C9" t="n">
        <x:v>1</x:v>
      </x:c>
      <x:c r="D9" t="str">
        <x:v>1:2:1</x:v>
      </x:c>
      <x:c r="E9" s="16" t="n">
        <x:v>0.48261335433454006</x:v>
      </x:c>
      <x:c r="F9" s="18" t="n">
        <x:v>60.08265232234543</x:v>
      </x:c>
      <x:c r="G9" s="20" t="n">
        <x:v>9.984659e-16</x:v>
      </x:c>
      <x:c r="H9" s="20" t="n">
        <x:v>0.000010507482</x:v>
      </x:c>
      <x:c r="I9" t="str">
        <x:v>P03-T15-O05_G2_FWD_Vd1p0.csv</x:v>
      </x:c>
      <x:c r="J9" t="str">
        <x:v>storage TotalCurrent</x:v>
      </x:c>
    </x:row>
    <x:row r="10">
      <x:c r="A10" t="str">
        <x:v>G2</x:v>
      </x:c>
      <x:c r="B10" t="str">
        <x:v>REV</x:v>
      </x:c>
      <x:c r="C10" t="n">
        <x:v>0.05</x:v>
      </x:c>
      <x:c r="D10" t="str">
        <x:v>1:2:1</x:v>
      </x:c>
      <x:c r="E10" s="16" t="n">
        <x:v>0.4848295230613286</x:v>
      </x:c>
      <x:c r="F10" s="18" t="n">
        <x:v>60.35935301933478</x:v>
      </x:c>
      <x:c r="G10" s="20" t="n">
        <x:v>9.9343619e-16</x:v>
      </x:c>
      <x:c r="H10" s="20" t="n">
        <x:v>0.0000031266507</x:v>
      </x:c>
      <x:c r="I10" t="str">
        <x:v>P03-T15-O05_G2_REV_Vd0p05.csv</x:v>
      </x:c>
      <x:c r="J10" t="str">
        <x:v>bitline TotalCurrent</x:v>
      </x:c>
    </x:row>
    <x:row r="11">
      <x:c r="A11" t="str">
        <x:v>G2</x:v>
      </x:c>
      <x:c r="B11" t="str">
        <x:v>REV</x:v>
      </x:c>
      <x:c r="C11" t="n">
        <x:v>1</x:v>
      </x:c>
      <x:c r="D11" t="str">
        <x:v>1:2:1</x:v>
      </x:c>
      <x:c r="E11" s="16" t="n">
        <x:v>0.48261454699979317</x:v>
      </x:c>
      <x:c r="F11" s="18" t="n">
        <x:v>60.0778625024291</x:v>
      </x:c>
      <x:c r="G11" s="20" t="n">
        <x:v>9.9848917e-16</x:v>
      </x:c>
      <x:c r="H11" s="20" t="n">
        <x:v>0.00001050425</x:v>
      </x:c>
      <x:c r="I11" t="str">
        <x:v>P03-T15-O05_G2_REV_Vd1p0.csv</x:v>
      </x:c>
      <x:c r="J11" t="str">
        <x:v>bitline TotalCurrent</x:v>
      </x:c>
    </x:row>
    <x:row r="12">
      <x:c r="A12" t="str">
        <x:v>G1</x:v>
      </x:c>
      <x:c r="B12" t="str">
        <x:v>FWD</x:v>
      </x:c>
      <x:c r="C12" t="n">
        <x:v>0.05</x:v>
      </x:c>
      <x:c r="D12" t="str">
        <x:v>2.5:1:2.5</x:v>
      </x:c>
      <x:c r="E12" s="16" t="n">
        <x:v>0.4049029217316421</x:v>
      </x:c>
      <x:c r="F12" s="18" t="n">
        <x:v>62.12444732906222</x:v>
      </x:c>
      <x:c r="G12" s="20" t="n">
        <x:v>5.1099877e-14</x:v>
      </x:c>
      <x:c r="H12" s="20" t="n">
        <x:v>0.0000031559055</x:v>
      </x:c>
      <x:c r="I12" t="str">
        <x:v>P03-T15-O05_G1_FWD_Vd0p05.csv</x:v>
      </x:c>
      <x:c r="J12" t="str">
        <x:v>storage TotalCurrent</x:v>
      </x:c>
    </x:row>
    <x:row r="13">
      <x:c r="A13" t="str">
        <x:v>G1</x:v>
      </x:c>
      <x:c r="B13" t="str">
        <x:v>FWD</x:v>
      </x:c>
      <x:c r="C13" t="n">
        <x:v>1</x:v>
      </x:c>
      <x:c r="D13" t="str">
        <x:v>2.5:1:2.5</x:v>
      </x:c>
      <x:c r="E13" s="16" t="n">
        <x:v>0.39409175185726153</x:v>
      </x:c>
      <x:c r="F13" s="18" t="n">
        <x:v>61.34097329129682</x:v>
      </x:c>
      <x:c r="G13" s="20" t="n">
        <x:v>5.1339466e-14</x:v>
      </x:c>
      <x:c r="H13" s="20" t="n">
        <x:v>0.000011464785</x:v>
      </x:c>
      <x:c r="I13" t="str">
        <x:v>P03-T15-O05_G1_FWD_Vd1p0.csv</x:v>
      </x:c>
      <x:c r="J13" t="str">
        <x:v>storage TotalCurrent</x:v>
      </x:c>
    </x:row>
    <x:row r="14">
      <x:c r="A14" t="str">
        <x:v>G1</x:v>
      </x:c>
      <x:c r="B14" t="str">
        <x:v>REV</x:v>
      </x:c>
      <x:c r="C14" t="n">
        <x:v>0.05</x:v>
      </x:c>
      <x:c r="D14" t="str">
        <x:v>2.5:1:2.5</x:v>
      </x:c>
      <x:c r="E14" s="16" t="n">
        <x:v>0.4049056187378843</x:v>
      </x:c>
      <x:c r="F14" s="18" t="n">
        <x:v>62.1644870254564</x:v>
      </x:c>
      <x:c r="G14" s="20" t="n">
        <x:v>5.109972e-14</x:v>
      </x:c>
      <x:c r="H14" s="20" t="n">
        <x:v>0.0000031557155</x:v>
      </x:c>
      <x:c r="I14" t="str">
        <x:v>P03-T15-O05_G1_REV_Vd0p05.csv</x:v>
      </x:c>
      <x:c r="J14" t="str">
        <x:v>bitline TotalCurrent</x:v>
      </x:c>
    </x:row>
    <x:row r="15">
      <x:c r="A15" t="str">
        <x:v>G1</x:v>
      </x:c>
      <x:c r="B15" t="str">
        <x:v>REV</x:v>
      </x:c>
      <x:c r="C15" t="n">
        <x:v>1</x:v>
      </x:c>
      <x:c r="D15" t="str">
        <x:v>2.5:1:2.5</x:v>
      </x:c>
      <x:c r="E15" s="16" t="n">
        <x:v>0.39409518928506315</x:v>
      </x:c>
      <x:c r="F15" s="18" t="n">
        <x:v>61.341462239115856</x:v>
      </x:c>
      <x:c r="G15" s="20" t="n">
        <x:v>5.133977e-14</x:v>
      </x:c>
      <x:c r="H15" s="20" t="n">
        <x:v>0.000011461778</x:v>
      </x:c>
      <x:c r="I15" t="str">
        <x:v>P03-T15-O05_G1_REV_Vd1p0.csv</x:v>
      </x:c>
      <x:c r="J15" t="str">
        <x:v>bitline TotalCurrent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5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3" t="str">
        <x:v>P03-T15-O05 양방향 전류 비대칭 비교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4" t="str">
        <x:v>Fixed WF=4.33/4.70/4.33 eV, Temp=300 K. Forward: X=gate_m1 OuterVoltage, Y=storage TotalCurrent. Reverse: X=gate_m1 OuterVoltage, Y=bitline TotalCurrent.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>
      <x:c r="A4" s="10" t="str">
        <x:v>Geometry</x:v>
      </x:c>
      <x:c r="B4" s="10" t="str">
        <x:v>M1:M2:M3</x:v>
      </x:c>
      <x:c r="C4" s="10" t="str">
        <x:v>Segment (nm)</x:v>
      </x:c>
      <x:c r="D4" s="10" t="str">
        <x:v>Ion asym @0.05V (%)</x:v>
      </x:c>
      <x:c r="E4" s="10" t="str">
        <x:v>Ion asym @1.0V (%)</x:v>
      </x:c>
      <x:c r="F4" s="10" t="str">
        <x:v>Ioff asym @0.05V (%)</x:v>
      </x:c>
      <x:c r="G4" s="10" t="str">
        <x:v>Ioff asym @1.0V (%)</x:v>
      </x:c>
      <x:c r="H4" s="10" t="str">
        <x:v>|ΔVth| @0.05V (µV)</x:v>
      </x:c>
      <x:c r="I4" s="10" t="str">
        <x:v>|ΔVth| @1.0V (µV)</x:v>
      </x:c>
      <x:c r="J4" s="10" t="str">
        <x:v>|ΔSS| @1.0V (mV/dec)</x:v>
      </x:c>
      <x:c r="K4" s="10" t="str">
        <x:v>DIBL FWD (mV/V)</x:v>
      </x:c>
      <x:c r="L4" s="10" t="str">
        <x:v>DIBL REV (mV/V)</x:v>
      </x:c>
      <x:c r="M4" s="10" t="str">
        <x:v>|ΔDIBL| (mV/V)</x:v>
      </x:c>
      <x:c r="N4" s="10" t="str">
        <x:v>Assessment</x:v>
      </x:c>
    </x:row>
    <x:row r="5">
      <x:c r="A5" t="str">
        <x:v>G0</x:v>
      </x:c>
      <x:c r="B5" t="str">
        <x:v>1:1:1</x:v>
      </x:c>
      <x:c r="C5" t="str">
        <x:v>20/20/20</x:v>
      </x:c>
      <x:c r="D5" s="34" t="n">
        <x:f>ABS('Detailed_Metrics'!H4-'Detailed_Metrics'!H6)/AVERAGE(ABS('Detailed_Metrics'!H4),ABS('Detailed_Metrics'!H6))*100</x:f>
        <x:v>0.006043112788629187</x:v>
      </x:c>
      <x:c r="E5" s="34" t="n">
        <x:f>ABS('Detailed_Metrics'!H5-'Detailed_Metrics'!H7)/AVERAGE(ABS('Detailed_Metrics'!H5),ABS('Detailed_Metrics'!H7))*100</x:f>
        <x:v>0.025835693128922713</x:v>
      </x:c>
      <x:c r="F5" s="34" t="n">
        <x:f>ABS('Detailed_Metrics'!G4-'Detailed_Metrics'!G6)/AVERAGE(ABS('Detailed_Metrics'!G4),ABS('Detailed_Metrics'!G6))*100</x:f>
        <x:v>0.0014129022405245052</x:v>
      </x:c>
      <x:c r="G5" s="34" t="n">
        <x:f>ABS('Detailed_Metrics'!G5-'Detailed_Metrics'!G7)/AVERAGE(ABS('Detailed_Metrics'!G5),ABS('Detailed_Metrics'!G7))*100</x:f>
        <x:v>0.0017039779007497423</x:v>
      </x:c>
      <x:c r="H5" s="36" t="n">
        <x:f>ABS('Detailed_Metrics'!E4-'Detailed_Metrics'!E6)*1E6</x:f>
        <x:v>1.4951108096572518</x:v>
      </x:c>
      <x:c r="I5" s="36" t="n">
        <x:f>ABS('Detailed_Metrics'!E5-'Detailed_Metrics'!E7)*1E6</x:f>
        <x:v>0.9114463170867282</x:v>
      </x:c>
      <x:c r="J5" s="36" t="n">
        <x:f>ABS('Detailed_Metrics'!F5-'Detailed_Metrics'!F7)</x:f>
        <x:v>0.00016577522200833528</x:v>
      </x:c>
      <x:c r="K5" s="34" t="n">
        <x:f>('Detailed_Metrics'!E4-'Detailed_Metrics'!E5)/0.95*1000</x:f>
        <x:v>5.2153126107531245</x:v>
      </x:c>
      <x:c r="L5" s="34" t="n">
        <x:f>('Detailed_Metrics'!E6-'Detailed_Metrics'!E7)/0.95*1000</x:f>
        <x:v>5.215926994429515</x:v>
      </x:c>
      <x:c r="M5" s="34" t="n">
        <x:f>ABS(K5-L5)</x:f>
        <x:v>0.0006143836763907728</x:v>
      </x:c>
      <x:c r="N5" s="30" t="str">
        <x:v>No meaningful directional asymmetry observed</x:v>
      </x:c>
    </x:row>
    <x:row r="6">
      <x:c r="A6" t="str">
        <x:v>G2</x:v>
      </x:c>
      <x:c r="B6" t="str">
        <x:v>1:2:1</x:v>
      </x:c>
      <x:c r="C6" t="str">
        <x:v>15/30/15</x:v>
      </x:c>
      <x:c r="D6" s="34" t="n">
        <x:f>ABS('Detailed_Metrics'!H8-'Detailed_Metrics'!H10)/AVERAGE(ABS('Detailed_Metrics'!H8),ABS('Detailed_Metrics'!H10))*100</x:f>
        <x:v>0.00608619981057879</x:v>
      </x:c>
      <x:c r="E6" s="34" t="n">
        <x:f>ABS('Detailed_Metrics'!H9-'Detailed_Metrics'!H11)/AVERAGE(ABS('Detailed_Metrics'!H9),ABS('Detailed_Metrics'!H11))*100</x:f>
        <x:v>0.030763765690514512</x:v>
      </x:c>
      <x:c r="F6" s="34" t="n">
        <x:f>ABS('Detailed_Metrics'!G8-'Detailed_Metrics'!G10)/AVERAGE(ABS('Detailed_Metrics'!G8),ABS('Detailed_Metrics'!G10))*100</x:f>
        <x:v>0.0018803598875940884</x:v>
      </x:c>
      <x:c r="G6" s="34" t="n">
        <x:f>ABS('Detailed_Metrics'!G9-'Detailed_Metrics'!G11)/AVERAGE(ABS('Detailed_Metrics'!G9),ABS('Detailed_Metrics'!G11))*100</x:f>
        <x:v>0.0023305481780270558</x:v>
      </x:c>
      <x:c r="H6" s="36" t="n">
        <x:f>ABS('Detailed_Metrics'!E8-'Detailed_Metrics'!E10)*1E6</x:f>
        <x:v>0.9629102512009879</x:v>
      </x:c>
      <x:c r="I6" s="36" t="n">
        <x:f>ABS('Detailed_Metrics'!E9-'Detailed_Metrics'!E11)*1E6</x:f>
        <x:v>1.1926652531135673</x:v>
      </x:c>
      <x:c r="J6" s="36" t="n">
        <x:f>ABS('Detailed_Metrics'!F9-'Detailed_Metrics'!F11)</x:f>
        <x:v>0.00478981991633276</x:v>
      </x:c>
      <x:c r="K6" s="34" t="n">
        <x:f>('Detailed_Metrics'!E8-'Detailed_Metrics'!E9)/0.95*1000</x:f>
        <x:v>2.3317955963550903</x:v>
      </x:c>
      <x:c r="L6" s="34" t="n">
        <x:f>('Detailed_Metrics'!E10-'Detailed_Metrics'!E11)/0.95*1000</x:f>
        <x:v>2.331553748984656</x:v>
      </x:c>
      <x:c r="M6" s="34" t="n">
        <x:f>ABS(K6-L6)</x:f>
        <x:v>0.00024184737043420057</x:v>
      </x:c>
      <x:c r="N6" s="30" t="str">
        <x:v>No meaningful directional asymmetry observed</x:v>
      </x:c>
    </x:row>
    <x:row r="7">
      <x:c r="A7" t="str">
        <x:v>G1</x:v>
      </x:c>
      <x:c r="B7" t="str">
        <x:v>2.5:1:2.5</x:v>
      </x:c>
      <x:c r="C7" t="str">
        <x:v>25/10/25</x:v>
      </x:c>
      <x:c r="D7" s="34" t="n">
        <x:f>ABS('Detailed_Metrics'!H12-'Detailed_Metrics'!H14)/AVERAGE(ABS('Detailed_Metrics'!H12),ABS('Detailed_Metrics'!H14))*100</x:f>
        <x:v>0.006020640339467864</x:v>
      </x:c>
      <x:c r="E7" s="34" t="n">
        <x:f>ABS('Detailed_Metrics'!H13-'Detailed_Metrics'!H15)/AVERAGE(ABS('Detailed_Metrics'!H13),ABS('Detailed_Metrics'!H15))*100</x:f>
        <x:v>0.02623158124485503</x:v>
      </x:c>
      <x:c r="F7" s="34" t="n">
        <x:f>ABS('Detailed_Metrics'!G12-'Detailed_Metrics'!G14)/AVERAGE(ABS('Detailed_Metrics'!G12),ABS('Detailed_Metrics'!G14))*100</x:f>
        <x:v>0.0003072419160386473</x:v>
      </x:c>
      <x:c r="G7" s="34" t="n">
        <x:f>ABS('Detailed_Metrics'!G13-'Detailed_Metrics'!G15)/AVERAGE(ABS('Detailed_Metrics'!G13),ABS('Detailed_Metrics'!G15))*100</x:f>
        <x:v>0.0005921352979331974</x:v>
      </x:c>
      <x:c r="H7" s="36" t="n">
        <x:f>ABS('Detailed_Metrics'!E12-'Detailed_Metrics'!E14)*1E6</x:f>
        <x:v>2.6970062421693974</x:v>
      </x:c>
      <x:c r="I7" s="36" t="n">
        <x:f>ABS('Detailed_Metrics'!E13-'Detailed_Metrics'!E15)*1E6</x:f>
        <x:v>3.4374278016224835</x:v>
      </x:c>
      <x:c r="J7" s="36" t="n">
        <x:f>ABS('Detailed_Metrics'!F13-'Detailed_Metrics'!F15)</x:f>
        <x:v>0.0004889478190364116</x:v>
      </x:c>
      <x:c r="K7" s="34" t="n">
        <x:f>('Detailed_Metrics'!E12-'Detailed_Metrics'!E13)/0.95*1000</x:f>
        <x:v>11.38017881513745</x:v>
      </x:c>
      <x:c r="L7" s="34" t="n">
        <x:f>('Detailed_Metrics'!E14-'Detailed_Metrics'!E15)/0.95*1000</x:f>
        <x:v>11.379399424022235</x:v>
      </x:c>
      <x:c r="M7" s="34" t="n">
        <x:f>ABS(K7-L7)</x:f>
        <x:v>0.0007793911152145228</x:v>
      </x:c>
      <x:c r="N7" s="30" t="str">
        <x:v>No meaningful directional asymmetry observed</x:v>
      </x:c>
    </x:row>
    <x:row r="9">
      <x:c r="A9" s="30" t="str">
        <x:v>Conclusion: Forward/Reverse Ion asymmetry is below about 0.031% at Vd=1.0 V and about 0.006% at Vd=0.05 V for all three geometries. Vth, SS, Ioff and DIBL also remain nearly unchanged. T15-O05 therefore shows no meaningful bidirectional-current penalty. No arbitrary PASS cutoff is introduced. Together with T15-O04, G2 (1:2:1, 15/30/15 nm) remains the representative candidate.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</x:row>
    <x:row r="14">
      <x:c r="A14" s="24" t="str">
        <x:v>Asymmetry = |FWD−REV| / ((|FWD|+|REV|)/2) × 100%. Vth: |Id|=1E-7 A constant-current with log-current interpolation. SS: |Id|=1E-12~1E-8 A log-current fit. Ioff: first Id-Vg point (Vg≈0). Ion: Vg=1.0 V. DIBL=(Vth@0.05−Vth@1.0)/0.95.</x:v>
      </x:c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</x:sheetData>
  <x:mergeCells>
    <x:mergeCell ref="A1:N1"/>
    <x:mergeCell ref="A2:N2"/>
    <x:mergeCell ref="A9:N12"/>
    <x:mergeCell ref="A14:N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20" hidden="0" customWidth="1"/>
    <x:col min="5" max="5" width="34" hidden="0" customWidth="1"/>
    <x:col min="6" max="6" width="42" hidden="0" customWidth="1"/>
    <x:col min="7" max="7" width="42" hidden="0" customWidth="1"/>
    <x:col min="8" max="8" width="10" hidden="0" customWidth="1"/>
    <x:col min="9" max="9" width="12" hidden="0" customWidth="1"/>
    <x:col min="10" max="10" width="12" hidden="0" customWidth="1"/>
  </x:cols>
  <x:sheetData>
    <x:row r="1">
      <x:c r="A1" s="3" t="str">
        <x:v>Raw CSV source mapping / axis check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Geometry</x:v>
      </x:c>
      <x:c r="B3" s="10" t="str">
        <x:v>Direction</x:v>
      </x:c>
      <x:c r="C3" s="10" t="str">
        <x:v>Vd (V)</x:v>
      </x:c>
      <x:c r="D3" s="10" t="str">
        <x:v>Original filename</x:v>
      </x:c>
      <x:c r="E3" s="10" t="str">
        <x:v>Upload filename</x:v>
      </x:c>
      <x:c r="F3" s="10" t="str">
        <x:v>CSV X header</x:v>
      </x:c>
      <x:c r="G3" s="10" t="str">
        <x:v>CSV Y header</x:v>
      </x:c>
      <x:c r="H3" s="10" t="str">
        <x:v>Rows</x:v>
      </x:c>
      <x:c r="I3" s="10" t="str">
        <x:v>X min (V)</x:v>
      </x:c>
      <x:c r="J3" s="10" t="str">
        <x:v>X max (V)</x:v>
      </x:c>
    </x:row>
    <x:row r="4">
      <x:c r="A4" t="str">
        <x:v>G0</x:v>
      </x:c>
      <x:c r="B4" t="str">
        <x:v>FWD</x:v>
      </x:c>
      <x:c r="C4" t="n">
        <x:v>1</x:v>
      </x:c>
      <x:c r="D4" t="str">
        <x:v>n73(1).csv</x:v>
      </x:c>
      <x:c r="E4" t="str">
        <x:v>P03-T15-O05_G0_FWD_Vd1p0.csv</x:v>
      </x:c>
      <x:c r="F4" t="str">
        <x:v>storage TotalCurrent(ForwardIdVg_n73_des) X</x:v>
      </x:c>
      <x:c r="G4" t="str">
        <x:v>storage TotalCurrent(ForwardIdVg_n73_des) Y</x:v>
      </x:c>
      <x:c r="H4" t="n">
        <x:v>539</x:v>
      </x:c>
      <x:c r="I4" t="n">
        <x:v>0.00001</x:v>
      </x:c>
      <x:c r="J4" t="n">
        <x:v>1</x:v>
      </x:c>
    </x:row>
    <x:row r="5">
      <x:c r="A5" t="str">
        <x:v>G0</x:v>
      </x:c>
      <x:c r="B5" t="str">
        <x:v>FWD</x:v>
      </x:c>
      <x:c r="C5" t="n">
        <x:v>0.05</x:v>
      </x:c>
      <x:c r="D5" t="str">
        <x:v>n73.csv</x:v>
      </x:c>
      <x:c r="E5" t="str">
        <x:v>P03-T15-O05_G0_FWD_Vd0p05.csv</x:v>
      </x:c>
      <x:c r="F5" t="str">
        <x:v>storage TotalCurrent(ForwardIdVg_n73_des) X</x:v>
      </x:c>
      <x:c r="G5" t="str">
        <x:v>storage TotalCurrent(ForwardIdVg_n73_des) Y</x:v>
      </x:c>
      <x:c r="H5" t="n">
        <x:v>539</x:v>
      </x:c>
      <x:c r="I5" t="n">
        <x:v>0.00001</x:v>
      </x:c>
      <x:c r="J5" t="n">
        <x:v>1</x:v>
      </x:c>
    </x:row>
    <x:row r="6">
      <x:c r="A6" t="str">
        <x:v>G2</x:v>
      </x:c>
      <x:c r="B6" t="str">
        <x:v>FWD</x:v>
      </x:c>
      <x:c r="C6" t="n">
        <x:v>1</x:v>
      </x:c>
      <x:c r="D6" t="str">
        <x:v>A_3.csv</x:v>
      </x:c>
      <x:c r="E6" t="str">
        <x:v>P03-T15-O05_G2_FWD_Vd1p0.csv</x:v>
      </x:c>
      <x:c r="F6" t="str">
        <x:v>storage TotalCurrent(ForwardIdVg_n123_des) X</x:v>
      </x:c>
      <x:c r="G6" t="str">
        <x:v>storage TotalCurrent(ForwardIdVg_n123_des) Y</x:v>
      </x:c>
      <x:c r="H6" t="n">
        <x:v>539</x:v>
      </x:c>
      <x:c r="I6" t="n">
        <x:v>0.00001</x:v>
      </x:c>
      <x:c r="J6" t="n">
        <x:v>1</x:v>
      </x:c>
    </x:row>
    <x:row r="7">
      <x:c r="A7" t="str">
        <x:v>G2</x:v>
      </x:c>
      <x:c r="B7" t="str">
        <x:v>FWD</x:v>
      </x:c>
      <x:c r="C7" t="n">
        <x:v>0.05</x:v>
      </x:c>
      <x:c r="D7" t="str">
        <x:v>A_4.csv</x:v>
      </x:c>
      <x:c r="E7" t="str">
        <x:v>P03-T15-O05_G2_FWD_Vd0p05.csv</x:v>
      </x:c>
      <x:c r="F7" t="str">
        <x:v>storage TotalCurrent(ForwardIdVg_n126_des) X</x:v>
      </x:c>
      <x:c r="G7" t="str">
        <x:v>storage TotalCurrent(ForwardIdVg_n126_des) Y</x:v>
      </x:c>
      <x:c r="H7" t="n">
        <x:v>539</x:v>
      </x:c>
      <x:c r="I7" t="n">
        <x:v>0.00001</x:v>
      </x:c>
      <x:c r="J7" t="n">
        <x:v>1</x:v>
      </x:c>
    </x:row>
    <x:row r="8">
      <x:c r="A8" t="str">
        <x:v>G1</x:v>
      </x:c>
      <x:c r="B8" t="str">
        <x:v>FWD</x:v>
      </x:c>
      <x:c r="C8" t="n">
        <x:v>1</x:v>
      </x:c>
      <x:c r="D8" t="str">
        <x:v>A_1.csv</x:v>
      </x:c>
      <x:c r="E8" t="str">
        <x:v>P03-T15-O05_G1_FWD_Vd1p0.csv</x:v>
      </x:c>
      <x:c r="F8" t="str">
        <x:v>storage TotalCurrent(ForwardIdVg_n112_des) X</x:v>
      </x:c>
      <x:c r="G8" t="str">
        <x:v>storage TotalCurrent(ForwardIdVg_n112_des) Y</x:v>
      </x:c>
      <x:c r="H8" t="n">
        <x:v>539</x:v>
      </x:c>
      <x:c r="I8" t="n">
        <x:v>0.00001</x:v>
      </x:c>
      <x:c r="J8" t="n">
        <x:v>1</x:v>
      </x:c>
    </x:row>
    <x:row r="9">
      <x:c r="A9" t="str">
        <x:v>G1</x:v>
      </x:c>
      <x:c r="B9" t="str">
        <x:v>FWD</x:v>
      </x:c>
      <x:c r="C9" t="n">
        <x:v>0.05</x:v>
      </x:c>
      <x:c r="D9" t="str">
        <x:v>A_2.csv</x:v>
      </x:c>
      <x:c r="E9" t="str">
        <x:v>P03-T15-O05_G1_FWD_Vd0p05.csv</x:v>
      </x:c>
      <x:c r="F9" t="str">
        <x:v>storage TotalCurrent(ForwardIdVg_n115_des) X</x:v>
      </x:c>
      <x:c r="G9" t="str">
        <x:v>storage TotalCurrent(ForwardIdVg_n115_des) Y</x:v>
      </x:c>
      <x:c r="H9" t="n">
        <x:v>546</x:v>
      </x:c>
      <x:c r="I9" t="n">
        <x:v>0.00001</x:v>
      </x:c>
      <x:c r="J9" t="n">
        <x:v>1</x:v>
      </x:c>
    </x:row>
    <x:row r="10">
      <x:c r="A10" t="str">
        <x:v>G0</x:v>
      </x:c>
      <x:c r="B10" t="str">
        <x:v>REV</x:v>
      </x:c>
      <x:c r="C10" t="n">
        <x:v>1</x:v>
      </x:c>
      <x:c r="D10" t="str">
        <x:v>R_1.0_1.csv</x:v>
      </x:c>
      <x:c r="E10" t="str">
        <x:v>P03-T15-O05_G0_REV_Vd1p0.csv</x:v>
      </x:c>
      <x:c r="F10" t="str">
        <x:v>bitline TotalCurrent(ReverseIdVg_n123_des) X</x:v>
      </x:c>
      <x:c r="G10" t="str">
        <x:v>bitline TotalCurrent(ReverseIdVg_n123_des) Y</x:v>
      </x:c>
      <x:c r="H10" t="n">
        <x:v>539</x:v>
      </x:c>
      <x:c r="I10" t="n">
        <x:v>0.00001</x:v>
      </x:c>
      <x:c r="J10" t="n">
        <x:v>1</x:v>
      </x:c>
    </x:row>
    <x:row r="11">
      <x:c r="A11" t="str">
        <x:v>G0</x:v>
      </x:c>
      <x:c r="B11" t="str">
        <x:v>REV</x:v>
      </x:c>
      <x:c r="C11" t="n">
        <x:v>0.05</x:v>
      </x:c>
      <x:c r="D11" t="str">
        <x:v>R_0.05_1.csv</x:v>
      </x:c>
      <x:c r="E11" t="str">
        <x:v>P03-T15-O05_G0_REV_Vd0p05.csv</x:v>
      </x:c>
      <x:c r="F11" t="str">
        <x:v>bitline TotalCurrent(ReverseIdVg_n126_des) X</x:v>
      </x:c>
      <x:c r="G11" t="str">
        <x:v>bitline TotalCurrent(ReverseIdVg_n126_des) Y</x:v>
      </x:c>
      <x:c r="H11" t="n">
        <x:v>539</x:v>
      </x:c>
      <x:c r="I11" t="n">
        <x:v>0.00001</x:v>
      </x:c>
      <x:c r="J11" t="n">
        <x:v>1</x:v>
      </x:c>
    </x:row>
    <x:row r="12">
      <x:c r="A12" t="str">
        <x:v>G2</x:v>
      </x:c>
      <x:c r="B12" t="str">
        <x:v>REV</x:v>
      </x:c>
      <x:c r="C12" t="n">
        <x:v>1</x:v>
      </x:c>
      <x:c r="D12" t="str">
        <x:v>R_1.0_2.csv</x:v>
      </x:c>
      <x:c r="E12" t="str">
        <x:v>P03-T15-O05_G2_REV_Vd1p0.csv</x:v>
      </x:c>
      <x:c r="F12" t="str">
        <x:v>bitline TotalCurrent(ReverseIdVg_n146_des) X</x:v>
      </x:c>
      <x:c r="G12" t="str">
        <x:v>bitline TotalCurrent(ReverseIdVg_n146_des) Y</x:v>
      </x:c>
      <x:c r="H12" t="n">
        <x:v>546</x:v>
      </x:c>
      <x:c r="I12" t="n">
        <x:v>0.00001</x:v>
      </x:c>
      <x:c r="J12" t="n">
        <x:v>1</x:v>
      </x:c>
    </x:row>
    <x:row r="13">
      <x:c r="A13" t="str">
        <x:v>G2</x:v>
      </x:c>
      <x:c r="B13" t="str">
        <x:v>REV</x:v>
      </x:c>
      <x:c r="C13" t="n">
        <x:v>0.05</x:v>
      </x:c>
      <x:c r="D13" t="str">
        <x:v>R_0.05_2.csv</x:v>
      </x:c>
      <x:c r="E13" t="str">
        <x:v>P03-T15-O05_G2_REV_Vd0p05.csv</x:v>
      </x:c>
      <x:c r="F13" t="str">
        <x:v>bitline TotalCurrent(ReverseIdVg_n149_des) X</x:v>
      </x:c>
      <x:c r="G13" t="str">
        <x:v>bitline TotalCurrent(ReverseIdVg_n149_des) Y</x:v>
      </x:c>
      <x:c r="H13" t="n">
        <x:v>539</x:v>
      </x:c>
      <x:c r="I13" t="n">
        <x:v>0.00001</x:v>
      </x:c>
      <x:c r="J13" t="n">
        <x:v>1</x:v>
      </x:c>
    </x:row>
    <x:row r="14">
      <x:c r="A14" t="str">
        <x:v>G1</x:v>
      </x:c>
      <x:c r="B14" t="str">
        <x:v>REV</x:v>
      </x:c>
      <x:c r="C14" t="n">
        <x:v>1</x:v>
      </x:c>
      <x:c r="D14" t="str">
        <x:v>R_1.0_3.csv</x:v>
      </x:c>
      <x:c r="E14" t="str">
        <x:v>P03-T15-O05_G1_REV_Vd1p0.csv</x:v>
      </x:c>
      <x:c r="F14" t="str">
        <x:v>bitline TotalCurrent(ReverseIdVg_n177_des) X</x:v>
      </x:c>
      <x:c r="G14" t="str">
        <x:v>bitline TotalCurrent(ReverseIdVg_n177_des) Y</x:v>
      </x:c>
      <x:c r="H14" t="n">
        <x:v>539</x:v>
      </x:c>
      <x:c r="I14" t="n">
        <x:v>0.00001</x:v>
      </x:c>
      <x:c r="J14" t="n">
        <x:v>1</x:v>
      </x:c>
    </x:row>
    <x:row r="15">
      <x:c r="A15" t="str">
        <x:v>G1</x:v>
      </x:c>
      <x:c r="B15" t="str">
        <x:v>REV</x:v>
      </x:c>
      <x:c r="C15" t="n">
        <x:v>0.05</x:v>
      </x:c>
      <x:c r="D15" t="str">
        <x:v>R_0.05_3.csv</x:v>
      </x:c>
      <x:c r="E15" t="str">
        <x:v>P03-T15-O05_G1_REV_Vd0p05.csv</x:v>
      </x:c>
      <x:c r="F15" t="str">
        <x:v>bitline TotalCurrent(ReverseIdVg_n180_des) X</x:v>
      </x:c>
      <x:c r="G15" t="str">
        <x:v>bitline TotalCurrent(ReverseIdVg_n180_des) Y</x:v>
      </x:c>
      <x:c r="H15" t="n">
        <x:v>539</x:v>
      </x:c>
      <x:c r="I15" t="n">
        <x:v>0.00001</x:v>
      </x:c>
      <x:c r="J15" t="n">
        <x:v>1</x:v>
      </x:c>
    </x:row>
  </x:sheetData>
  <x:mergeCells>
    <x:mergeCell ref="A1:J1"/>
  </x:mergeCells>
  <x:pageMargins left="0.7" right="0.7" top="0.75" bottom="0.75" header="0.3" footer="0.3"/>
</x:worksheet>
</file>