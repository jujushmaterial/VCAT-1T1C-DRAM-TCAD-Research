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efbb7ede7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h_Stability" sheetId="1" r:id="Rdedf59058f8449e7"/>
    <x:sheet xmlns:r="http://schemas.openxmlformats.org/officeDocument/2006/relationships" name="Raw_Source_Index" sheetId="2" r:id="R609b691c33dc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E+00"/>
    <x:numFmt numFmtId="201" formatCode="0.000"/>
    <x:numFmt numFmtId="202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19f77f2014ea7" /><Relationship Type="http://schemas.openxmlformats.org/officeDocument/2006/relationships/theme" Target="/xl/theme/theme1.xml" Id="Rcad3ea0ac73f4e9a" /><Relationship Type="http://schemas.openxmlformats.org/officeDocument/2006/relationships/sharedStrings" Target="/xl/sharedStrings.xml" Id="Re0c9b5668dfe41f4" /><Relationship Type="http://schemas.openxmlformats.org/officeDocument/2006/relationships/worksheet" Target="/xl/worksheets/sheet1.xml" Id="Rdedf59058f8449e7" /><Relationship Type="http://schemas.openxmlformats.org/officeDocument/2006/relationships/worksheet" Target="/xl/worksheets/sheet2.xml" Id="R609b691c33dc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35" hidden="0" customWidth="1"/>
    <x:col min="8" max="8" width="35" hidden="0" customWidth="1"/>
  </x:cols>
  <x:sheetData>
    <x:row r="1">
      <x:c r="A1" s="5" t="str">
        <x:v>P03-T16-O05 Mesh 전·후 핵심 지표 안정성</x:v>
      </x:c>
    </x:row>
    <x:row r="3">
      <x:c r="A3" s="13" t="str">
        <x:v>Metric</x:v>
      </x:c>
      <x:c r="B3" s="13" t="str">
        <x:v>Mesh ON</x:v>
      </x:c>
      <x:c r="C3" s="13" t="str">
        <x:v>Mesh OFF</x:v>
      </x:c>
      <x:c r="D3" s="13" t="str">
        <x:v>Absolute Δ</x:v>
      </x:c>
      <x:c r="E3" s="13" t="str">
        <x:v>Relative Δ (%)</x:v>
      </x:c>
      <x:c r="F3" s="13" t="str">
        <x:v>Unit</x:v>
      </x:c>
      <x:c r="G3" s="13" t="str">
        <x:v>Extraction</x:v>
      </x:c>
      <x:c r="H3" s="13" t="str">
        <x:v>Interpretation</x:v>
      </x:c>
    </x:row>
    <x:row r="4">
      <x:c r="A4" s="22" t="str">
        <x:v>Vth @ Vd=0.05</x:v>
      </x:c>
      <x:c r="B4" s="23" t="n">
        <x:v>0.4848285601510774</x:v>
      </x:c>
      <x:c r="C4" s="23" t="n">
        <x:v>0.48278917593826326</x:v>
      </x:c>
      <x:c r="D4" s="23" t="n">
        <x:f>C4-B4</x:f>
        <x:v>-0.0020393842128141326</x:v>
      </x:c>
      <x:c r="E4" s="24" t="n">
        <x:f>IF(B4=0,"",(C4-B4)/B4*100)</x:f>
        <x:v>-0.4206402799741501</x:v>
      </x:c>
      <x:c r="F4" s="22" t="str">
        <x:v>V</x:v>
      </x:c>
      <x:c r="G4" s="22" t="str">
        <x:v>|Id|=1e-7 A, log interpolation</x:v>
      </x:c>
      <x:c r="H4" s="22" t="str">
        <x:v>Δ≈-2.04 mV</x:v>
      </x:c>
    </x:row>
    <x:row r="5">
      <x:c r="A5" s="22" t="str">
        <x:v>Vth @ Vd=1.0</x:v>
      </x:c>
      <x:c r="B5" s="23" t="n">
        <x:v>0.48261335433454006</x:v>
      </x:c>
      <x:c r="C5" s="23" t="n">
        <x:v>0.4801031869872832</x:v>
      </x:c>
      <x:c r="D5" s="23" t="n">
        <x:f>C5-B5</x:f>
        <x:v>-0.002510167347256842</x:v>
      </x:c>
      <x:c r="E5" s="24" t="n">
        <x:f>IF(B5=0,"",(C5-B5)/B5*100)</x:f>
        <x:v>-0.5201197448665775</x:v>
      </x:c>
      <x:c r="F5" s="22" t="str">
        <x:v>V</x:v>
      </x:c>
      <x:c r="G5" s="22" t="str">
        <x:v>|Id|=1e-7 A, log interpolation</x:v>
      </x:c>
      <x:c r="H5" s="22" t="str">
        <x:v>Δ≈-2.51 mV</x:v>
      </x:c>
    </x:row>
    <x:row r="6">
      <x:c r="A6" s="22" t="str">
        <x:v>SS @ Vd=1.0</x:v>
      </x:c>
      <x:c r="B6" s="23" t="n">
        <x:v>60.08265232234543</x:v>
      </x:c>
      <x:c r="C6" s="23" t="n">
        <x:v>60.213911649081595</x:v>
      </x:c>
      <x:c r="D6" s="23" t="n">
        <x:f>C6-B6</x:f>
        <x:v>0.13125932673616347</x:v>
      </x:c>
      <x:c r="E6" s="24" t="n">
        <x:f>IF(B6=0,"",(C6-B6)/B6*100)</x:f>
        <x:v>0.2184646011163968</x:v>
      </x:c>
      <x:c r="F6" s="22" t="str">
        <x:v>mV/dec</x:v>
      </x:c>
      <x:c r="G6" s="22" t="str">
        <x:v>fit over |Id|=1e-12~1e-8 A</x:v>
      </x:c>
      <x:c r="H6" s="22" t="str">
        <x:v>Δ≈+0.131 mV/dec</x:v>
      </x:c>
    </x:row>
    <x:row r="7">
      <x:c r="A7" s="22" t="str">
        <x:v>Ioff @ Vd=1.0</x:v>
      </x:c>
      <x:c r="B7" s="23" t="n">
        <x:v>9.984659e-16</x:v>
      </x:c>
      <x:c r="C7" s="23" t="n">
        <x:v>1.1382012e-15</x:v>
      </x:c>
      <x:c r="D7" s="23" t="n">
        <x:f>C7-B7</x:f>
        <x:v>1.3973530000000004e-16</x:v>
      </x:c>
      <x:c r="E7" s="24" t="n">
        <x:f>((C7*1E15)-(B7*1E15))/(B7*1E15)*100</x:f>
        <x:v>13.994999729084379</x:v>
      </x:c>
      <x:c r="F7" s="22" t="str">
        <x:v>A</x:v>
      </x:c>
      <x:c r="G7" s="22" t="str">
        <x:v>|Id| at Vg≈0 (first sweep point)</x:v>
      </x:c>
      <x:c r="H7" s="22" t="str">
        <x:v>absolute Δ≈1.40e-16 A</x:v>
      </x:c>
    </x:row>
    <x:row r="8">
      <x:c r="A8" s="22" t="str">
        <x:v>Ion @ Vd=1.0</x:v>
      </x:c>
      <x:c r="B8" s="23" t="n">
        <x:v>0.000010507482</x:v>
      </x:c>
      <x:c r="C8" s="23" t="n">
        <x:v>0.000010542994</x:v>
      </x:c>
      <x:c r="D8" s="23" t="n">
        <x:f>C8-B8</x:f>
        <x:v>3.551200000000109e-8</x:v>
      </x:c>
      <x:c r="E8" s="24" t="n">
        <x:f>IF(B8=0,"",(C8-B8)/B8*100)</x:f>
        <x:v>0.33796869697232024</x:v>
      </x:c>
      <x:c r="F8" s="22" t="str">
        <x:v>A</x:v>
      </x:c>
      <x:c r="G8" s="22" t="str">
        <x:v>|Id| at Vg=1.0 V</x:v>
      </x:c>
      <x:c r="H8" s="22" t="str">
        <x:v>Δ≈+0.338%</x:v>
      </x:c>
    </x:row>
    <x:row r="9">
      <x:c r="A9" s="22" t="str">
        <x:v>DIBL</x:v>
      </x:c>
      <x:c r="B9" s="23" t="n">
        <x:v>2.3317955963550903</x:v>
      </x:c>
      <x:c r="C9" s="23" t="n">
        <x:v>2.8273567905053105</x:v>
      </x:c>
      <x:c r="D9" s="23" t="n">
        <x:f>C9-B9</x:f>
        <x:v>0.49556119415022026</x:v>
      </x:c>
      <x:c r="E9" s="24" t="n">
        <x:f>IF(B9=0,"",(C9-B9)/B9*100)</x:f>
        <x:v>21.252342826483115</x:v>
      </x:c>
      <x:c r="F9" s="22" t="str">
        <x:v>mV/V</x:v>
      </x:c>
      <x:c r="G9" s="22" t="str">
        <x:v>(Vth0.05-Vth1.0)/0.95</x:v>
      </x:c>
      <x:c r="H9" s="22" t="str">
        <x:v>absolute Δ≈+0.496 mV/V</x:v>
      </x:c>
    </x:row>
    <x:row r="10">
      <x:c r="A10" s="22" t="str">
        <x:v>GIDL @ Vg=-0.4</x:v>
      </x:c>
      <x:c r="B10" s="23" t="n">
        <x:v>3.5975206e-15</x:v>
      </x:c>
      <x:c r="C10" s="23" t="n">
        <x:v>3.6179195e-15</x:v>
      </x:c>
      <x:c r="D10" s="23" t="n">
        <x:f>C10-B10</x:f>
        <x:v>2.0398900000000293e-17</x:v>
      </x:c>
      <x:c r="E10" s="24" t="n">
        <x:f>((C10*1E15)-(B10*1E15))/(B10*1E15)*100</x:f>
        <x:v>0.5670266349551966</x:v>
      </x:c>
      <x:c r="F10" s="22" t="str">
        <x:v>A</x:v>
      </x:c>
      <x:c r="G10" s="22" t="str">
        <x:v>|storage TotalCurrent|, Vd=1.0 V</x:v>
      </x:c>
      <x:c r="H10" s="22" t="str">
        <x:v>Δ≈+0.567%</x:v>
      </x:c>
    </x:row>
    <x:row r="13">
      <x:c r="A13" s="30" t="str">
        <x:v>Mesh size evidence</x:v>
      </x:c>
      <x:c r="B13" s="30" t="str">
        <x:v>Mesh ON</x:v>
      </x:c>
      <x:c r="C13" s="30" t="str">
        <x:v>Mesh OFF</x:v>
      </x:c>
      <x:c r="D13" s="30" t="str">
        <x:v>Absolute Δ</x:v>
      </x:c>
      <x:c r="E13" s="30" t="str">
        <x:v>Relative Δ (%)</x:v>
      </x:c>
    </x:row>
    <x:row r="14">
      <x:c r="A14" t="str">
        <x:v>Elements</x:v>
      </x:c>
      <x:c r="B14" t="n">
        <x:v>2697</x:v>
      </x:c>
      <x:c r="C14" t="n">
        <x:v>1871</x:v>
      </x:c>
      <x:c r="D14" t="n">
        <x:f>C14-B14</x:f>
        <x:v>-826</x:v>
      </x:c>
      <x:c r="E14" s="34" t="n">
        <x:f>(C14-B14)/B14*100</x:f>
        <x:v>-30.62662217278457</x:v>
      </x:c>
    </x:row>
    <x:row r="15">
      <x:c r="A15" t="str">
        <x:v>Points</x:v>
      </x:c>
      <x:c r="B15" t="n">
        <x:v>1313</x:v>
      </x:c>
      <x:c r="C15" t="n">
        <x:v>911</x:v>
      </x:c>
      <x:c r="D15" t="n">
        <x:f>C15-B15</x:f>
        <x:v>-402</x:v>
      </x:c>
      <x:c r="E15" s="34" t="n">
        <x:f>(C15-B15)/B15*100</x:f>
        <x:v>-30.616907844630614</x:v>
      </x:c>
    </x:row>
    <x:row r="18" ht="24" customHeight="1">
      <x:c r="A18" s="38" t="str">
        <x:v>Decision note</x:v>
      </x:c>
    </x:row>
    <x:row r="19" ht="34" customHeight="1">
      <x:c r="A19" s="44" t="str">
        <x:v>Issue #3에는 T16 정량 pass/fail cutoff가 명시되어 있지 않다. 따라서 임의 cutoff를 만들지 않고 절대 변화량과 대표구조 선정 유지 여부로 안정성을 기록한다.</x:v>
      </x:c>
    </x:row>
    <x:row r="20" ht="34" customHeight="1">
      <x:c r="A20" s="44" t="str">
        <x:v>Mesh OFF에서 Elements/Points가 약 30.6% 감소했지만 Ion과 GIDL은 각각 약 +0.338%, +0.567% 변화했고, Vth/SS 변화도 작아 G2 대표구조 판단은 유지된다.</x:v>
      </x:c>
    </x:row>
    <x:row r="21" ht="34" customHeight="1">
      <x:c r="A21" s="44" t="str">
        <x:v>P4 최종 handoff mesh는 보수적으로 Mesh ON을 사용한다. Mesh OFF는 sensitivity evidence only.</x:v>
      </x:c>
    </x:row>
  </x:sheetData>
  <x:mergeCells>
    <x:mergeCell ref="A1:H1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2" hidden="0" customWidth="1"/>
    <x:col min="4" max="4" width="50" hidden="0" customWidth="1"/>
  </x:cols>
  <x:sheetData>
    <x:row r="1">
      <x:c r="A1" s="13" t="str">
        <x:v>Package filename</x:v>
      </x:c>
      <x:c r="B1" s="13" t="str">
        <x:v>Original filename</x:v>
      </x:c>
      <x:c r="C1" s="13" t="str">
        <x:v>Condition</x:v>
      </x:c>
      <x:c r="D1" s="13" t="str">
        <x:v>X/Y definition</x:v>
      </x:c>
    </x:row>
    <x:row r="2">
      <x:c r="A2" s="22" t="str">
        <x:v>MeshON_G2_Forward_Vd0p05.csv</x:v>
      </x:c>
      <x:c r="B2" s="22" t="str">
        <x:v>A_4.csv</x:v>
      </x:c>
      <x:c r="C2" s="22" t="str">
        <x:v>Mesh ON, G2 1:2:1, Forward, Vd=0.05 V</x:v>
      </x:c>
      <x:c r="D2" s="22" t="str">
        <x:v>X=gate_m1 OuterVoltage [V], Y=storage TotalCurrent [A]</x:v>
      </x:c>
    </x:row>
    <x:row r="3">
      <x:c r="A3" s="22" t="str">
        <x:v>MeshON_G2_Forward_Vd1p0.csv</x:v>
      </x:c>
      <x:c r="B3" s="22" t="str">
        <x:v>A_3.csv</x:v>
      </x:c>
      <x:c r="C3" s="22" t="str">
        <x:v>Mesh ON, G2 1:2:1, Forward, Vd=1.0 V</x:v>
      </x:c>
      <x:c r="D3" s="22" t="str">
        <x:v>X=gate_m1 OuterVoltage [V], Y=storage TotalCurrent [A]</x:v>
      </x:c>
    </x:row>
    <x:row r="4">
      <x:c r="A4" s="22" t="str">
        <x:v>MeshON_G2_GIDL.csv</x:v>
      </x:c>
      <x:c r="B4" s="22" t="str">
        <x:v>GIDL_A_2.csv</x:v>
      </x:c>
      <x:c r="C4" s="22" t="str">
        <x:v>Mesh ON, G2 1:2:1, GIDL, storage=1.0 V, gate 0→-0.4 V</x:v>
      </x:c>
      <x:c r="D4" s="22" t="str">
        <x:v>X=gate_m1 OuterVoltage [V], Y=storage TotalCurrent [A]</x:v>
      </x:c>
    </x:row>
    <x:row r="5">
      <x:c r="A5" s="22" t="str">
        <x:v>MeshOFF_G2_Forward_Vd0p05.csv</x:v>
      </x:c>
      <x:c r="B5" s="22" t="str">
        <x:v>t16_0.05.csv</x:v>
      </x:c>
      <x:c r="C5" s="22" t="str">
        <x:v>Mesh OFF, G2 1:2:1, Forward, Vd=0.05 V</x:v>
      </x:c>
      <x:c r="D5" s="22" t="str">
        <x:v>X=gate_m1 OuterVoltage [V], Y=storage TotalCurrent [A]</x:v>
      </x:c>
    </x:row>
    <x:row r="6">
      <x:c r="A6" s="22" t="str">
        <x:v>MeshOFF_G2_Forward_Vd1p0.csv</x:v>
      </x:c>
      <x:c r="B6" s="22" t="str">
        <x:v>t16_1.0.csv</x:v>
      </x:c>
      <x:c r="C6" s="22" t="str">
        <x:v>Mesh OFF, G2 1:2:1, Forward, Vd=1.0 V</x:v>
      </x:c>
      <x:c r="D6" s="22" t="str">
        <x:v>X=gate_m1 OuterVoltage [V], Y=storage TotalCurrent [A]</x:v>
      </x:c>
    </x:row>
    <x:row r="7">
      <x:c r="A7" s="22" t="str">
        <x:v>MeshOFF_G2_GIDL.csv</x:v>
      </x:c>
      <x:c r="B7" s="22" t="str">
        <x:v>t16_gidl.csv</x:v>
      </x:c>
      <x:c r="C7" s="22" t="str">
        <x:v>Mesh OFF, G2 1:2:1, GIDL, storage=1.0 V, gate 0→-0.4 V</x:v>
      </x:c>
      <x:c r="D7" s="22" t="str">
        <x:v>X=gate_m1 OuterVoltage [V], Y=storage TotalCurrent [A]</x:v>
      </x:c>
    </x:row>
  </x:sheetData>
  <x:pageMargins left="0.7" right="0.7" top="0.75" bottom="0.75" header="0.3" footer="0.3"/>
</x:worksheet>
</file>