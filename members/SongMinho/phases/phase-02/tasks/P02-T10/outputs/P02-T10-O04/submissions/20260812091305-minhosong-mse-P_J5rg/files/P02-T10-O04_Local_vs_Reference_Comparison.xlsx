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460f91937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4f8f6f77034b98"/>
    <x:sheet xmlns:r="http://schemas.openxmlformats.org/officeDocument/2006/relationships" name="DC_Comparison" sheetId="2" r:id="Rcf14cf7f069e475c"/>
    <x:sheet xmlns:r="http://schemas.openxmlformats.org/officeDocument/2006/relationships" name="GIDL_Field_BTBT" sheetId="3" r:id="Re1173c6258f344df"/>
    <x:sheet xmlns:r="http://schemas.openxmlformats.org/officeDocument/2006/relationships" name="Evidence_Index" sheetId="4" r:id="Ra6b797969280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5ee350fb5417e" /><Relationship Type="http://schemas.openxmlformats.org/officeDocument/2006/relationships/theme" Target="/xl/theme/theme1.xml" Id="R1b09aea8c1c74e91" /><Relationship Type="http://schemas.openxmlformats.org/officeDocument/2006/relationships/sharedStrings" Target="/xl/sharedStrings.xml" Id="R410f36a09585484e" /><Relationship Type="http://schemas.openxmlformats.org/officeDocument/2006/relationships/worksheet" Target="/xl/worksheets/sheet1.xml" Id="R544f8f6f77034b98" /><Relationship Type="http://schemas.openxmlformats.org/officeDocument/2006/relationships/worksheet" Target="/xl/worksheets/sheet2.xml" Id="Rcf14cf7f069e475c" /><Relationship Type="http://schemas.openxmlformats.org/officeDocument/2006/relationships/worksheet" Target="/xl/worksheets/sheet3.xml" Id="Re1173c6258f344df" /><Relationship Type="http://schemas.openxmlformats.org/officeDocument/2006/relationships/worksheet" Target="/xl/worksheets/sheet4.xml" Id="Ra6b79796928043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6" hidden="0" customWidth="1"/>
    <x:col min="5" max="5" width="34" hidden="0" customWidth="1"/>
    <x:col min="6" max="6" width="14" hidden="0" customWidth="1"/>
  </x:cols>
  <x:sheetData>
    <x:row r="1">
      <x:c r="A1" s="5" t="str">
        <x:v>P02-T10 O04 — Local Mesh vs Uniform Fine/Medium 최종 비교</x:v>
      </x:c>
      <x:c r="B1" s="5"/>
      <x:c r="C1" s="5"/>
      <x:c r="D1" s="5"/>
      <x:c r="E1" s="5"/>
      <x:c r="F1" s="5"/>
    </x:row>
    <x:row r="3">
      <x:c r="A3" s="14" t="str">
        <x:v>지표</x:v>
      </x:c>
      <x:c r="B3" s="14" t="str">
        <x:v>Fine 0.5</x:v>
      </x:c>
      <x:c r="C3" s="14" t="str">
        <x:v>Local Contour</x:v>
      </x:c>
      <x:c r="D3" s="14" t="str">
        <x:v>차이/오차</x:v>
      </x:c>
      <x:c r="E3" s="14" t="str">
        <x:v>해석</x:v>
      </x:c>
      <x:c r="F3" s="14" t="str">
        <x:v>단위</x:v>
      </x:c>
    </x:row>
    <x:row r="4">
      <x:c r="A4" s="18" t="str">
        <x:v>Ion @ Vd=0.05 V</x:v>
      </x:c>
      <x:c r="B4" s="18" t="n">
        <x:v>0.00000284921</x:v>
      </x:c>
      <x:c r="C4" s="18" t="n">
        <x:v>0.0000028108392</x:v>
      </x:c>
      <x:c r="D4" s="19" t="n">
        <x:f>(C4-B4)/B4</x:f>
        <x:v>-0.01346717160195278</x:v>
      </x:c>
      <x:c r="E4" s="18" t="str">
        <x:v>DC screening에 사용 가능</x:v>
      </x:c>
      <x:c r="F4" s="18" t="str">
        <x:v>A</x:v>
      </x:c>
    </x:row>
    <x:row r="5">
      <x:c r="A5" s="18" t="str">
        <x:v>Ion @ Vd=1.0 V</x:v>
      </x:c>
      <x:c r="B5" s="18" t="n">
        <x:v>0.0000084057</x:v>
      </x:c>
      <x:c r="C5" s="18" t="n">
        <x:v>0.000008384092</x:v>
      </x:c>
      <x:c r="D5" s="19" t="n">
        <x:f>(C5-B5)/B5</x:f>
        <x:v>-0.0025706365918365098</x:v>
      </x:c>
      <x:c r="E5" s="18" t="str">
        <x:v>Fine과 매우 근접</x:v>
      </x:c>
      <x:c r="F5" s="18" t="str">
        <x:v>A</x:v>
      </x:c>
    </x:row>
    <x:row r="6">
      <x:c r="A6" s="18" t="str">
        <x:v>DIBL</x:v>
      </x:c>
      <x:c r="B6" s="18" t="n">
        <x:v>3.36508</x:v>
      </x:c>
      <x:c r="C6" s="18" t="n">
        <x:v>3.37917</x:v>
      </x:c>
      <x:c r="D6" s="19" t="n">
        <x:f>(C6-B6)/B6</x:f>
        <x:v>0.004187121851486424</x:v>
      </x:c>
      <x:c r="E6" s="18" t="str">
        <x:v>Fine과 매우 근접</x:v>
      </x:c>
      <x:c r="F6" s="18" t="str">
        <x:v>mV/V</x:v>
      </x:c>
    </x:row>
    <x:row r="7">
      <x:c r="A7" s="18" t="str">
        <x:v>GIDL @ Vg=-0.4 V</x:v>
      </x:c>
      <x:c r="B7" s="18" t="n">
        <x:v>2.4506867e-14</x:v>
      </x:c>
      <x:c r="C7" s="18" t="n">
        <x:v>2.9398496e-14</x:v>
      </x:c>
      <x:c r="D7" s="19" t="n">
        <x:f>(C7-B7)/B7</x:f>
        <x:v>0.1996023808347268</x:v>
      </x:c>
      <x:c r="E7" s="18" t="str">
        <x:v>Fine precision 대체 불가</x:v>
      </x:c>
      <x:c r="F7" s="18" t="str">
        <x:v>A</x:v>
      </x:c>
    </x:row>
    <x:row r="8">
      <x:c r="A8" s="18" t="str">
        <x:v>ElectricField max</x:v>
      </x:c>
      <x:c r="B8" s="18" t="n">
        <x:v>8571180</x:v>
      </x:c>
      <x:c r="C8" s="18" t="n">
        <x:v>8565530</x:v>
      </x:c>
      <x:c r="D8" s="19" t="n">
        <x:f>(C8-B8)/B8</x:f>
        <x:v>-0.0006591857830543752</x:v>
      </x:c>
      <x:c r="E8" s="18" t="str">
        <x:v>Peak field 매우 근접</x:v>
      </x:c>
      <x:c r="F8" s="18" t="str">
        <x:v>V/cm</x:v>
      </x:c>
    </x:row>
    <x:row r="9">
      <x:c r="A9" s="18" t="str">
        <x:v>BTBT max</x:v>
      </x:c>
      <x:c r="B9" s="18" t="n">
        <x:v>6.8907e+24</x:v>
      </x:c>
      <x:c r="C9" s="18" t="n">
        <x:v>7.98864e+24</x:v>
      </x:c>
      <x:c r="D9" s="19" t="n">
        <x:f>(C9-B9)/B9</x:f>
        <x:v>0.15933649701771946</x:v>
      </x:c>
      <x:c r="E9" s="18" t="str">
        <x:v>절대 BTBT 차이 큼</x:v>
      </x:c>
      <x:c r="F9" s="18" t="str">
        <x:v>cm^-3 s^-1</x:v>
      </x:c>
    </x:row>
    <x:row r="10">
      <x:c r="A10" s="18" t="str">
        <x:v>GIDL runtime</x:v>
      </x:c>
      <x:c r="B10" s="18" t="n">
        <x:v>1008.88</x:v>
      </x:c>
      <x:c r="C10" s="18" t="n">
        <x:v>668.94</x:v>
      </x:c>
      <x:c r="D10" s="19" t="n">
        <x:f>(C10-B10)/B10</x:f>
        <x:v>-0.33694790262469265</x:v>
      </x:c>
      <x:c r="E10" s="18" t="str">
        <x:v>계산시간 단축</x:v>
      </x:c>
      <x:c r="F10" s="18" t="str">
        <x:v>s</x:v>
      </x:c>
    </x:row>
    <x:row r="11">
      <x:c r="A11" s="18" t="str">
        <x:v>SDevice elements</x:v>
      </x:c>
      <x:c r="B11" s="18" t="n">
        <x:v>5430</x:v>
      </x:c>
      <x:c r="C11" s="18" t="n">
        <x:v>3454</x:v>
      </x:c>
      <x:c r="D11" s="19" t="n">
        <x:f>(C11-B11)/B11</x:f>
        <x:v>-0.36390423572744013</x:v>
      </x:c>
      <x:c r="E11" s="18" t="str">
        <x:v>log-to-log 기준 감소</x:v>
      </x:c>
      <x:c r="F11" s="18" t="str">
        <x:v>elements</x:v>
      </x:c>
    </x:row>
    <x:row r="13">
      <x:c r="A13" s="23" t="str">
        <x:v>최종 판정</x:v>
      </x:c>
      <x:c r="B13" t="str"/>
      <x:c r="C13" t="str"/>
      <x:c r="D13" t="str"/>
      <x:c r="E13" t="str"/>
      <x:c r="F13" t="str"/>
    </x:row>
    <x:row r="14">
      <x:c r="A14" s="18" t="str">
        <x:v>2D screening baseline</x:v>
      </x:c>
      <x:c r="B14" s="18" t="str">
        <x:v>P02_T10_LocalMesh_Contour_v1 채택</x:v>
      </x:c>
      <x:c r="C14" s="18" t="str"/>
      <x:c r="D14" s="18" t="str"/>
      <x:c r="E14" s="18" t="str"/>
      <x:c r="F14" s="18" t="str"/>
    </x:row>
    <x:row r="15">
      <x:c r="A15" s="18" t="str">
        <x:v>정밀 GIDL/BTBT</x:v>
      </x:c>
      <x:c r="B15" s="18" t="str">
        <x:v>Uniform Fine 0.5 reference 유지</x:v>
      </x:c>
      <x:c r="C15" s="18" t="str"/>
      <x:c r="D15" s="18" t="str"/>
      <x:c r="E15" s="18" t="str"/>
      <x:c r="F15" s="18" t="str"/>
    </x:row>
    <x:row r="16">
      <x:c r="A16" s="18" t="str">
        <x:v>핵심 근거</x:v>
      </x:c>
      <x:c r="B16" s="18" t="str">
        <x:v>DC와 E-field는 Fine에 근접하지만 GIDL 약 +20%, BTBT peak 약 +16% 차이</x:v>
      </x:c>
      <x:c r="C16" s="18" t="str"/>
      <x:c r="D16" s="18" t="str"/>
      <x:c r="E16" s="18" t="str"/>
      <x:c r="F16" s="18" t="str"/>
    </x:row>
    <x:row r="17">
      <x:c r="A17" s="18" t="str">
        <x:v>운영 원칙</x:v>
      </x:c>
      <x:c r="B17" s="18" t="str">
        <x:v>구조/물리가 크게 바뀔 때만 hotspot 근처 local refinement 재검토</x:v>
      </x:c>
      <x:c r="C17" s="18" t="str"/>
      <x:c r="D17" s="18" t="str"/>
      <x:c r="E17" s="18" t="str"/>
      <x:c r="F17" s="18" t="str"/>
    </x:row>
  </x:sheetData>
  <x:mergeCells>
    <x:mergeCell ref="A1:F1"/>
    <x:mergeCell ref="A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</x:cols>
  <x:sheetData>
    <x:row r="1">
      <x:c r="A1" s="5" t="str">
        <x:v>Local Id–Vg 기반 DC 비교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조건</x:v>
      </x:c>
      <x:c r="B3" s="14" t="str">
        <x:v>지표</x:v>
      </x:c>
      <x:c r="C3" s="14" t="str">
        <x:v>Fine 0.5</x:v>
      </x:c>
      <x:c r="D3" s="14" t="str">
        <x:v>Local</x:v>
      </x:c>
      <x:c r="E3" s="14" t="str">
        <x:v>절대 차이</x:v>
      </x:c>
      <x:c r="F3" s="14" t="str">
        <x:v>상대 차이</x:v>
      </x:c>
      <x:c r="G3" s="14" t="str">
        <x:v>단위</x:v>
      </x:c>
      <x:c r="H3" s="14" t="str">
        <x:v>해석</x:v>
      </x:c>
    </x:row>
    <x:row r="4">
      <x:c r="A4" s="18" t="str">
        <x:v>Vd=0.05 V</x:v>
      </x:c>
      <x:c r="B4" s="18" t="str">
        <x:v>Vth</x:v>
      </x:c>
      <x:c r="C4" s="18" t="n">
        <x:v>0.50667277</x:v>
      </x:c>
      <x:c r="D4" s="18" t="n">
        <x:v>0.5066823098</x:v>
      </x:c>
      <x:c r="E4" s="18" t="n">
        <x:f>D4-C4</x:f>
        <x:v>0.00000953979999995802</x:v>
      </x:c>
      <x:c r="F4" s="30" t="n">
        <x:f>(D4-C4)/C4</x:f>
        <x:v>0.000018828325824492248</x:v>
      </x:c>
      <x:c r="G4" s="18" t="str">
        <x:v>V</x:v>
      </x:c>
      <x:c r="H4" s="18" t="str">
        <x:v>거의 동일</x:v>
      </x:c>
    </x:row>
    <x:row r="5">
      <x:c r="A5" s="18" t="str">
        <x:v>Vd=1.0 V</x:v>
      </x:c>
      <x:c r="B5" s="18" t="str">
        <x:v>Vth</x:v>
      </x:c>
      <x:c r="C5" s="18" t="n">
        <x:v>0.50347595</x:v>
      </x:c>
      <x:c r="D5" s="18" t="n">
        <x:v>0.5034720951</x:v>
      </x:c>
      <x:c r="E5" s="18" t="n">
        <x:f>D5-C5</x:f>
        <x:v>-0.000003854899999988781</x:v>
      </x:c>
      <x:c r="F5" s="30" t="n">
        <x:f>(D5-C5)/C5</x:f>
        <x:v>-0.000007656572275177754</x:v>
      </x:c>
      <x:c r="G5" s="18" t="str">
        <x:v>V</x:v>
      </x:c>
      <x:c r="H5" s="18" t="str">
        <x:v>거의 동일</x:v>
      </x:c>
    </x:row>
    <x:row r="6">
      <x:c r="A6" s="18" t="str">
        <x:v>Vd=0.05 V</x:v>
      </x:c>
      <x:c r="B6" s="18" t="str">
        <x:v>SS</x:v>
      </x:c>
      <x:c r="C6" s="18" t="n">
        <x:v>60.35291</x:v>
      </x:c>
      <x:c r="D6" s="18" t="n">
        <x:v>60.34917</x:v>
      </x:c>
      <x:c r="E6" s="18" t="n">
        <x:f>D6-C6</x:f>
        <x:v>-0.0037400000000005207</x:v>
      </x:c>
      <x:c r="F6" s="30" t="n">
        <x:f>(D6-C6)/C6</x:f>
        <x:v>-0.00006196884292738363</x:v>
      </x:c>
      <x:c r="G6" s="18" t="str">
        <x:v>mV/dec</x:v>
      </x:c>
      <x:c r="H6" s="18" t="str">
        <x:v>거의 동일</x:v>
      </x:c>
    </x:row>
    <x:row r="7">
      <x:c r="A7" s="18" t="str">
        <x:v>Vd=1.0 V</x:v>
      </x:c>
      <x:c r="B7" s="18" t="str">
        <x:v>SS</x:v>
      </x:c>
      <x:c r="C7" s="18" t="n">
        <x:v>60.1242</x:v>
      </x:c>
      <x:c r="D7" s="18" t="n">
        <x:v>60.1338</x:v>
      </x:c>
      <x:c r="E7" s="18" t="n">
        <x:f>D7-C7</x:f>
        <x:v>0.009599999999998943</x:v>
      </x:c>
      <x:c r="F7" s="30" t="n">
        <x:f>(D7-C7)/C7</x:f>
        <x:v>0.00015966948416775513</x:v>
      </x:c>
      <x:c r="G7" s="18" t="str">
        <x:v>mV/dec</x:v>
      </x:c>
      <x:c r="H7" s="18" t="str">
        <x:v>거의 동일</x:v>
      </x:c>
    </x:row>
    <x:row r="8">
      <x:c r="A8" s="18" t="str">
        <x:v>Vd=0.05 V</x:v>
      </x:c>
      <x:c r="B8" s="18" t="str">
        <x:v>Ion</x:v>
      </x:c>
      <x:c r="C8" s="18" t="n">
        <x:v>0.00000284921</x:v>
      </x:c>
      <x:c r="D8" s="18" t="n">
        <x:v>0.0000028108392</x:v>
      </x:c>
      <x:c r="E8" s="18" t="n">
        <x:f>D8-C8</x:f>
        <x:v>-3.8370799999999877e-8</x:v>
      </x:c>
      <x:c r="F8" s="30" t="n">
        <x:f>(D8-C8)/C8</x:f>
        <x:v>-0.01346717160195278</x:v>
      </x:c>
      <x:c r="G8" s="18" t="str">
        <x:v>A</x:v>
      </x:c>
      <x:c r="H8" s="18" t="str">
        <x:v>Local이 약간 낮음</x:v>
      </x:c>
    </x:row>
    <x:row r="9">
      <x:c r="A9" s="18" t="str">
        <x:v>Vd=1.0 V</x:v>
      </x:c>
      <x:c r="B9" s="18" t="str">
        <x:v>Ion</x:v>
      </x:c>
      <x:c r="C9" s="18" t="n">
        <x:v>0.0000084057</x:v>
      </x:c>
      <x:c r="D9" s="18" t="n">
        <x:v>0.000008384092</x:v>
      </x:c>
      <x:c r="E9" s="18" t="n">
        <x:f>D9-C9</x:f>
        <x:v>-2.160800000000015e-8</x:v>
      </x:c>
      <x:c r="F9" s="30" t="n">
        <x:f>(D9-C9)/C9</x:f>
        <x:v>-0.0025706365918365098</x:v>
      </x:c>
      <x:c r="G9" s="18" t="str">
        <x:v>A</x:v>
      </x:c>
      <x:c r="H9" s="18" t="str">
        <x:v>매우 근접</x:v>
      </x:c>
    </x:row>
    <x:row r="10">
      <x:c r="A10" s="18"/>
      <x:c r="B10" s="18"/>
      <x:c r="C10" s="18"/>
      <x:c r="D10" s="18"/>
      <x:c r="E10" s="18"/>
      <x:c r="F10" s="18"/>
      <x:c r="G10" s="18"/>
      <x:c r="H10" s="18"/>
    </x:row>
    <x:row r="11">
      <x:c r="A11" s="28" t="str">
        <x:v>추가 지표</x:v>
      </x:c>
      <x:c r="B11" s="28" t="str">
        <x:v>Fine 0.5</x:v>
      </x:c>
      <x:c r="C11" s="28" t="str">
        <x:v>Local</x:v>
      </x:c>
      <x:c r="D11" s="28" t="str">
        <x:v>절대 차이</x:v>
      </x:c>
      <x:c r="E11" s="28" t="str">
        <x:v>상대 차이</x:v>
      </x:c>
      <x:c r="F11" s="28" t="str">
        <x:v>단위</x:v>
      </x:c>
      <x:c r="G11" s="28" t="str">
        <x:v>비고</x:v>
      </x:c>
      <x:c r="H11" s="28" t="str"/>
    </x:row>
    <x:row r="12">
      <x:c r="A12" s="18" t="str">
        <x:v>Ioff @ Vd=0.05 V</x:v>
      </x:c>
      <x:c r="B12" s="18" t="n">
        <x:v>4.43294e-16</x:v>
      </x:c>
      <x:c r="C12" s="18" t="n">
        <x:v>4.4337255e-16</x:v>
      </x:c>
      <x:c r="D12" s="18" t="n">
        <x:f>C12-B12</x:f>
        <x:v>7.854999999995865e-20</x:v>
      </x:c>
      <x:c r="E12" s="30" t="n">
        <x:f>(C12-B12)/B12</x:f>
        <x:v>0.0001771961722918845</x:v>
      </x:c>
      <x:c r="F12" s="18" t="str">
        <x:v>A</x:v>
      </x:c>
      <x:c r="G12" s="18" t="str">
        <x:v>첫 sweep point 기준</x:v>
      </x:c>
      <x:c r="H12" s="18" t="str"/>
    </x:row>
    <x:row r="13">
      <x:c r="A13" s="18" t="str">
        <x:v>Ioff @ Vd=1.0 V</x:v>
      </x:c>
      <x:c r="B13" s="18" t="n">
        <x:v>2.83144e-15</x:v>
      </x:c>
      <x:c r="C13" s="18" t="n">
        <x:v>3.0233132e-15</x:v>
      </x:c>
      <x:c r="D13" s="18" t="n">
        <x:f>C13-B13</x:f>
        <x:v>1.9187319999999992e-16</x:v>
      </x:c>
      <x:c r="E13" s="30" t="n">
        <x:f>(C13-B13)/B13</x:f>
        <x:v>0.06776523606362837</x:v>
      </x:c>
      <x:c r="F13" s="18" t="str">
        <x:v>A</x:v>
      </x:c>
      <x:c r="G13" s="18" t="str">
        <x:v>첫 sweep point 기준</x:v>
      </x:c>
      <x:c r="H13" s="18" t="str"/>
    </x:row>
    <x:row r="14">
      <x:c r="A14" s="18" t="str">
        <x:v>DIBL</x:v>
      </x:c>
      <x:c r="B14" s="18" t="n">
        <x:v>3.36508</x:v>
      </x:c>
      <x:c r="C14" s="18" t="n">
        <x:v>3.37917</x:v>
      </x:c>
      <x:c r="D14" s="18" t="n">
        <x:f>C14-B14</x:f>
        <x:v>0.014089999999999936</x:v>
      </x:c>
      <x:c r="E14" s="30" t="n">
        <x:f>(C14-B14)/B14</x:f>
        <x:v>0.004187121851486424</x:v>
      </x:c>
      <x:c r="F14" s="18" t="str">
        <x:v>mV/V</x:v>
      </x:c>
      <x:c r="G14" s="18" t="str">
        <x:v>Vth@1e-7 A 기반</x:v>
      </x:c>
      <x:c r="H14" s="18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5" t="str">
        <x:v>GIDL / ElectricField / BTBT / Cost 비교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지표</x:v>
      </x:c>
      <x:c r="B3" s="14" t="str">
        <x:v>Coarse 2.0</x:v>
      </x:c>
      <x:c r="C3" s="14" t="str">
        <x:v>Medium 1.0</x:v>
      </x:c>
      <x:c r="D3" s="14" t="str">
        <x:v>Fine 0.5</x:v>
      </x:c>
      <x:c r="E3" s="14" t="str">
        <x:v>Local</x:v>
      </x:c>
      <x:c r="F3" s="14" t="str">
        <x:v>Local vs Fine</x:v>
      </x:c>
      <x:c r="G3" s="14" t="str">
        <x:v>Local vs Medium</x:v>
      </x:c>
      <x:c r="H3" s="14" t="str">
        <x:v>해석</x:v>
      </x:c>
    </x:row>
    <x:row r="4">
      <x:c r="A4" s="18" t="str">
        <x:v>GIDL @ -0.4 V [A]</x:v>
      </x:c>
      <x:c r="B4" s="18" t="n">
        <x:v>3.2709931e-14</x:v>
      </x:c>
      <x:c r="C4" s="18" t="n">
        <x:v>2.9205558e-14</x:v>
      </x:c>
      <x:c r="D4" s="18" t="n">
        <x:v>2.4506867e-14</x:v>
      </x:c>
      <x:c r="E4" s="18" t="n">
        <x:v>2.9398496e-14</x:v>
      </x:c>
      <x:c r="F4" s="19" t="str">
        <x:f>IF(OR(D4="",E4=""),"",(E4-D4)/D4)</x:f>
      </x:c>
      <x:c r="G4" s="19" t="str">
        <x:f>IF(OR(C4="",E4=""),"",(E4-C4)/C4)</x:f>
      </x:c>
      <x:c r="H4" s="18" t="str">
        <x:v>Local은 Medium 수준, Fine 대체 불가</x:v>
      </x:c>
    </x:row>
    <x:row r="5">
      <x:c r="A5" s="18" t="str">
        <x:v>ElectricField max [V/cm]</x:v>
      </x:c>
      <x:c r="B5" s="18" t="str"/>
      <x:c r="C5" s="18" t="str"/>
      <x:c r="D5" s="18" t="n">
        <x:v>8571180</x:v>
      </x:c>
      <x:c r="E5" s="18" t="n">
        <x:v>8565530</x:v>
      </x:c>
      <x:c r="F5" s="19" t="n">
        <x:f>IF(OR(D5="",E5=""),"",(E5-D5)/D5)</x:f>
        <x:v>-0.0006591857830543752</x:v>
      </x:c>
      <x:c r="G5" s="19" t="str">
        <x:f>IF(OR(C5="",E5=""),"",(E5-C5)/C5)</x:f>
      </x:c>
      <x:c r="H5" s="18" t="str">
        <x:v>Peak field는 Fine과 매우 근접</x:v>
      </x:c>
    </x:row>
    <x:row r="6">
      <x:c r="A6" s="18" t="str">
        <x:v>BTBT max [cm^-3 s^-1]</x:v>
      </x:c>
      <x:c r="B6" s="18" t="str"/>
      <x:c r="C6" s="18" t="str"/>
      <x:c r="D6" s="18" t="n">
        <x:v>6.8907e+24</x:v>
      </x:c>
      <x:c r="E6" s="18" t="n">
        <x:v>7.98864e+24</x:v>
      </x:c>
      <x:c r="F6" s="19" t="n">
        <x:f>IF(OR(D6="",E6=""),"",(E6-D6)/D6)</x:f>
        <x:v>0.15933649701771946</x:v>
      </x:c>
      <x:c r="G6" s="19" t="str">
        <x:f>IF(OR(C6="",E6=""),"",(E6-C6)/C6)</x:f>
      </x:c>
      <x:c r="H6" s="18" t="str">
        <x:v>Local peak가 높음</x:v>
      </x:c>
    </x:row>
    <x:row r="7">
      <x:c r="A7" s="18" t="str">
        <x:v>GIDL runtime [s]</x:v>
      </x:c>
      <x:c r="B7" s="18" t="n">
        <x:v>115.87</x:v>
      </x:c>
      <x:c r="C7" s="18" t="n">
        <x:v>321.4</x:v>
      </x:c>
      <x:c r="D7" s="18" t="n">
        <x:v>1008.88</x:v>
      </x:c>
      <x:c r="E7" s="18" t="n">
        <x:v>668.94</x:v>
      </x:c>
      <x:c r="F7" s="19" t="n">
        <x:f>IF(OR(D7="",E7=""),"",(E7-D7)/D7)</x:f>
        <x:v>-0.33694790262469265</x:v>
      </x:c>
      <x:c r="G7" s="19" t="n">
        <x:f>IF(OR(C7="",E7=""),"",(E7-C7)/C7)</x:f>
        <x:v>1.0813316739265715</x:v>
      </x:c>
      <x:c r="H7" s="18" t="str">
        <x:v>Fine 대비 시간 절감</x:v>
      </x:c>
    </x:row>
    <x:row r="8">
      <x:c r="A8" s="18" t="str">
        <x:v>SDevice elements</x:v>
      </x:c>
      <x:c r="B8" s="18" t="str"/>
      <x:c r="C8" s="18" t="str"/>
      <x:c r="D8" s="18" t="n">
        <x:v>5430</x:v>
      </x:c>
      <x:c r="E8" s="18" t="n">
        <x:v>3454</x:v>
      </x:c>
      <x:c r="F8" s="19" t="n">
        <x:f>IF(OR(D8="",E8=""),"",(E8-D8)/D8)</x:f>
        <x:v>-0.36390423572744013</x:v>
      </x:c>
      <x:c r="G8" s="19" t="str">
        <x:f>IF(OR(C8="",E8=""),"",(E8-C8)/C8)</x:f>
      </x:c>
      <x:c r="H8" s="18" t="str">
        <x:v>log-to-log 비교</x:v>
      </x:c>
    </x:row>
    <x:row r="9">
      <x:c r="A9" s="18" t="str">
        <x:v>Grid points</x:v>
      </x:c>
      <x:c r="B9" s="18" t="str"/>
      <x:c r="C9" s="18" t="str"/>
      <x:c r="D9" s="18" t="n">
        <x:v>2843</x:v>
      </x:c>
      <x:c r="E9" s="18" t="n">
        <x:v>1825</x:v>
      </x:c>
      <x:c r="F9" s="19" t="n">
        <x:f>IF(OR(D9="",E9=""),"",(E9-D9)/D9)</x:f>
        <x:v>-0.3580724586704186</x:v>
      </x:c>
      <x:c r="G9" s="19" t="str">
        <x:f>IF(OR(C9="",E9=""),"",(E9-C9)/C9)</x:f>
      </x:c>
      <x:c r="H9" s="18" t="str">
        <x:v>Fine 대비 감소</x:v>
      </x:c>
    </x:row>
    <x:row r="10">
      <x:c r="A10" s="18" t="str">
        <x:v>Local log warning</x:v>
      </x:c>
      <x:c r="B10" s="18" t="str"/>
      <x:c r="C10" s="18" t="str"/>
      <x:c r="D10" s="18" t="str"/>
      <x:c r="E10" s="18" t="n">
        <x:v>0.05788</x:v>
      </x:c>
      <x:c r="F10" s="19" t="str">
        <x:f>IF(OR(D10="",E10=""),"",(E10-D10)/D10)</x:f>
      </x:c>
      <x:c r="G10" s="19" t="str">
        <x:f>IF(OR(C10="",E10=""),"",(E10-C10)/C10)</x:f>
      </x:c>
      <x:c r="H10" s="18" t="str">
        <x:v>R.Channel DeltaVolume [%], non-Delaunay=0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6" hidden="0" customWidth="1"/>
    <x:col min="3" max="3" width="28" hidden="0" customWidth="1"/>
    <x:col min="4" max="4" width="20" hidden="0" customWidth="1"/>
    <x:col min="5" max="5" width="30" hidden="0" customWidth="1"/>
  </x:cols>
  <x:sheetData>
    <x:row r="1">
      <x:c r="A1" s="5" t="str">
        <x:v>증거 파일 인덱스</x:v>
      </x:c>
      <x:c r="B1" s="5"/>
      <x:c r="C1" s="5"/>
      <x:c r="D1" s="5"/>
      <x:c r="E1" s="5"/>
    </x:row>
    <x:row r="3">
      <x:c r="A3" s="14" t="str">
        <x:v>파일</x:v>
      </x:c>
      <x:c r="B3" s="14" t="str">
        <x:v>조건 / 축</x:v>
      </x:c>
      <x:c r="C3" s="14" t="str">
        <x:v>용도</x:v>
      </x:c>
      <x:c r="D3" s="14" t="str">
        <x:v>권장 Output</x:v>
      </x:c>
      <x:c r="E3" s="14" t="str">
        <x:v>비고</x:v>
      </x:c>
    </x:row>
    <x:row r="4">
      <x:c r="A4" s="18" t="str">
        <x:v>P02-T10-O03_LocalMesh_Contour_v1.cmd</x:v>
      </x:c>
      <x:c r="B4" s="18" t="str">
        <x:v>2D cylindrical Local mesh</x:v>
      </x:c>
      <x:c r="C4" s="18" t="str">
        <x:v>최종 SDE 코드</x:v>
      </x:c>
      <x:c r="D4" s="18" t="str">
        <x:v>P02-T10-O03</x:v>
      </x:c>
      <x:c r="E4" s="18" t="str">
        <x:v>MeshScale 파라미터 미사용</x:v>
      </x:c>
    </x:row>
    <x:row r="5">
      <x:c r="A5" s="18" t="str">
        <x:v>P02-T10-O03_LocalMesh_Overall.png</x:v>
      </x:c>
      <x:c r="B5" s="18" t="str">
        <x:v>전체 mesh</x:v>
      </x:c>
      <x:c r="C5" s="18" t="str">
        <x:v>mesh 구조 증거</x:v>
      </x:c>
      <x:c r="D5" s="18" t="str">
        <x:v>P02-T10-O03</x:v>
      </x:c>
      <x:c r="E5" s="18" t="str"/>
    </x:row>
    <x:row r="6">
      <x:c r="A6" s="18" t="str">
        <x:v>P02-T10-O03_LocalMesh_SN_Zoom.png</x:v>
      </x:c>
      <x:c r="B6" s="18" t="str">
        <x:v>SN gate-edge 확대</x:v>
      </x:c>
      <x:c r="C6" s="18" t="str">
        <x:v>Fine contour 증거</x:v>
      </x:c>
      <x:c r="D6" s="18" t="str">
        <x:v>P02-T10-O03</x:v>
      </x:c>
      <x:c r="E6" s="18" t="str"/>
    </x:row>
    <x:row r="7">
      <x:c r="A7" s="18" t="str">
        <x:v>P02-T10-O03_LocalMesh_BL_Zoom.png</x:v>
      </x:c>
      <x:c r="B7" s="18" t="str">
        <x:v>BL gate-edge 확대</x:v>
      </x:c>
      <x:c r="C7" s="18" t="str">
        <x:v>대칭성 증거</x:v>
      </x:c>
      <x:c r="D7" s="18" t="str">
        <x:v>P02-T10-O03</x:v>
      </x:c>
      <x:c r="E7" s="18" t="str"/>
    </x:row>
    <x:row r="8">
      <x:c r="A8" s="18" t="str">
        <x:v>P02-T10-O04_GIDL_Raw.csv</x:v>
      </x:c>
      <x:c r="B8" s="18" t="str">
        <x:v>X=gate OuterVoltage, Y=storage TotalCurrent</x:v>
      </x:c>
      <x:c r="C8" s="18" t="str">
        <x:v>GIDL 원본 curve</x:v>
      </x:c>
      <x:c r="D8" s="18" t="str">
        <x:v>P02-T10-O04</x:v>
      </x:c>
      <x:c r="E8" s="18" t="str">
        <x:v>raw signed current</x:v>
      </x:c>
    </x:row>
    <x:row r="9">
      <x:c r="A9" s="18" t="str">
        <x:v>P02-T10-O04_GIDL_Semilog.png</x:v>
      </x:c>
      <x:c r="B9" s="18" t="str">
        <x:v>Gate V vs |Storage Current|, log Y</x:v>
      </x:c>
      <x:c r="C9" s="18" t="str">
        <x:v>GIDL curve 시각화</x:v>
      </x:c>
      <x:c r="D9" s="18" t="str">
        <x:v>P02-T10-O04</x:v>
      </x:c>
      <x:c r="E9" s="18" t="str"/>
    </x:row>
    <x:row r="10">
      <x:c r="A10" s="18" t="str">
        <x:v>P02-T10-O04_ElectricField_Overall.png</x:v>
      </x:c>
      <x:c r="B10" s="18" t="str">
        <x:v>Vg=-0.4 V</x:v>
      </x:c>
      <x:c r="C10" s="18" t="str">
        <x:v>전체 field hotspot</x:v>
      </x:c>
      <x:c r="D10" s="18" t="str">
        <x:v>P02-T10-O04</x:v>
      </x:c>
      <x:c r="E10" s="18" t="str"/>
    </x:row>
    <x:row r="11">
      <x:c r="A11" s="18" t="str">
        <x:v>P02-T10-O04_ElectricField_SN_Zoom.png</x:v>
      </x:c>
      <x:c r="B11" s="18" t="str">
        <x:v>Vg=-0.4 V, SN gate-edge</x:v>
      </x:c>
      <x:c r="C11" s="18" t="str">
        <x:v>field 확대</x:v>
      </x:c>
      <x:c r="D11" s="18" t="str">
        <x:v>P02-T10-O04</x:v>
      </x:c>
      <x:c r="E11" s="18" t="str"/>
    </x:row>
    <x:row r="12">
      <x:c r="A12" s="18" t="str">
        <x:v>P02-T10-O04_BTBT_Overall.png</x:v>
      </x:c>
      <x:c r="B12" s="18" t="str">
        <x:v>Vg=-0.4 V</x:v>
      </x:c>
      <x:c r="C12" s="18" t="str">
        <x:v>전체 BTBT 분포</x:v>
      </x:c>
      <x:c r="D12" s="18" t="str">
        <x:v>P02-T10-O04</x:v>
      </x:c>
      <x:c r="E12" s="18" t="str"/>
    </x:row>
    <x:row r="13">
      <x:c r="A13" s="18" t="str">
        <x:v>P02-T10-O04_BTBT_SN_Zoom.png</x:v>
      </x:c>
      <x:c r="B13" s="18" t="str">
        <x:v>Vg=-0.4 V, SN gate-edge</x:v>
      </x:c>
      <x:c r="C13" s="18" t="str">
        <x:v>BTBT 확대</x:v>
      </x:c>
      <x:c r="D13" s="18" t="str">
        <x:v>P02-T10-O04</x:v>
      </x:c>
      <x:c r="E13" s="18" t="str"/>
    </x:row>
    <x:row r="14">
      <x:c r="A14" s="18" t="str">
        <x:v>P02-T10-O04_GIDL_SDevice.log</x:v>
      </x:c>
      <x:c r="B14" s="18" t="str">
        <x:v>storage=1 V, gate 0→-0.4 V</x:v>
      </x:c>
      <x:c r="C14" s="18" t="str">
        <x:v>runtime/convergence 증거</x:v>
      </x:c>
      <x:c r="D14" s="18" t="str">
        <x:v>P02-T10-O04</x:v>
      </x:c>
      <x:c r="E14" s="18" t="str"/>
    </x:row>
    <x:row r="15">
      <x:c r="A15" s="18" t="str">
        <x:v>Local_n47/n48_Stage*.csv</x:v>
      </x:c>
      <x:c r="B15" s="18" t="str">
        <x:v>X=gate OuterVoltage, Y=bitline TotalCurrent</x:v>
      </x:c>
      <x:c r="C15" s="18" t="str">
        <x:v>DC 원본</x:v>
      </x:c>
      <x:c r="D15" s="18" t="str">
        <x:v>P02-T10-O04 또는 supplemental</x:v>
      </x:c>
      <x:c r="E15" s="18" t="str">
        <x:v>Stage 1/2/3</x:v>
      </x:c>
    </x:row>
    <x:row r="16">
      <x:c r="A16" s="18" t="str">
        <x:v>P02-T10-O04_Local_vs_Reference_Comparison.xlsx</x:v>
      </x:c>
      <x:c r="B16" s="18" t="str">
        <x:v>최종 비교표</x:v>
      </x:c>
      <x:c r="C16" s="18" t="str">
        <x:v>정량 결론</x:v>
      </x:c>
      <x:c r="D16" s="18" t="str">
        <x:v>P02-T10-O04</x:v>
      </x:c>
      <x:c r="E16" s="18" t="str"/>
    </x:row>
  </x:sheetData>
  <x:mergeCells>
    <x:mergeCell ref="A1:E1"/>
  </x:mergeCells>
  <x:pageMargins left="0.7" right="0.7" top="0.75" bottom="0.75" header="0.3" footer="0.3"/>
</x:worksheet>
</file>