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ece\Downloads\"/>
    </mc:Choice>
  </mc:AlternateContent>
  <xr:revisionPtr revIDLastSave="0" documentId="13_ncr:1_{47B2E6F0-C9C5-4698-967E-249D3D84CCA4}" xr6:coauthVersionLast="36" xr6:coauthVersionMax="36" xr10:uidLastSave="{00000000-0000-0000-0000-000000000000}"/>
  <bookViews>
    <workbookView xWindow="0" yWindow="0" windowWidth="28800" windowHeight="12180" xr2:uid="{00000000-000D-0000-FFFF-FFFF00000000}"/>
  </bookViews>
  <sheets>
    <sheet name="Reuse_Scope" sheetId="1" r:id="rId1"/>
  </sheets>
  <calcPr calcId="191029"/>
</workbook>
</file>

<file path=xl/calcChain.xml><?xml version="1.0" encoding="utf-8"?>
<calcChain xmlns="http://schemas.openxmlformats.org/spreadsheetml/2006/main">
  <c r="H9" i="1" l="1"/>
  <c r="H8" i="1"/>
  <c r="H7" i="1"/>
  <c r="H6" i="1"/>
</calcChain>
</file>

<file path=xl/sharedStrings.xml><?xml version="1.0" encoding="utf-8"?>
<sst xmlns="http://schemas.openxmlformats.org/spreadsheetml/2006/main" count="64" uniqueCount="54">
  <si>
    <t>P02-T10-O01 기존 Mesh 결과 재사용·적용 범위 표</t>
  </si>
  <si>
    <t>기준: P02-T09의 Coarse/Medium/Fine 저장 결과는 재실행하지 않고 재사용. P02-T10에서 Local Mesh를 새로 검증했으며, JunctionFine 추가 split은 보존만 하고 최종 적용하지 않음.</t>
  </si>
  <si>
    <t>주의: Reference-Local JunctionFine은 목표 Vg=-0.4 V까지 GIDL sweep이 완료되지 않아 GIDL 정량 비교값을 기입하지 않음.</t>
  </si>
  <si>
    <t>구분</t>
  </si>
  <si>
    <t>Mesh / 조건</t>
  </si>
  <si>
    <t>출처 Task</t>
  </si>
  <si>
    <t>P02-T10 재사용 여부</t>
  </si>
  <si>
    <t>P02-T10 재실행 여부</t>
  </si>
  <si>
    <t>주요 목적</t>
  </si>
  <si>
    <t>GIDL @ Vg=-0.4 V (A)</t>
  </si>
  <si>
    <t>Fine 대비 GIDL 차이</t>
  </si>
  <si>
    <t>Runtime (s)</t>
  </si>
  <si>
    <t>Grid Points</t>
  </si>
  <si>
    <t>Elements</t>
  </si>
  <si>
    <t>최종 적용 범위</t>
  </si>
  <si>
    <t>근거 / 비고</t>
  </si>
  <si>
    <t>기존 P02-T09 결과</t>
  </si>
  <si>
    <t>Coarse</t>
  </si>
  <si>
    <t>P02-T09</t>
  </si>
  <si>
    <t>재사용</t>
  </si>
  <si>
    <t>재실행 안 함</t>
  </si>
  <si>
    <t>Mesh 민감도 추세 확인</t>
  </si>
  <si>
    <t>비교 추세 확인용</t>
  </si>
  <si>
    <t>Medium</t>
  </si>
  <si>
    <t>중간 해상도 비교 및 비용 기준</t>
  </si>
  <si>
    <t>Local 결과의 비교점</t>
  </si>
  <si>
    <t>Local GIDL이 Medium과 매우 가까운 수준임을 확인하는 비교 기준.</t>
  </si>
  <si>
    <t>Fine 0.5</t>
  </si>
  <si>
    <t>GIDL/BTBT 정밀 reference</t>
  </si>
  <si>
    <t>GIDL/BTBT 정밀 검증 reference</t>
  </si>
  <si>
    <t>최종 baseline 자체가 아니라 정밀 물리량 검증용 reference로 유지.</t>
  </si>
  <si>
    <t>P02-T10 신규 검증</t>
  </si>
  <si>
    <t>기존 Local Mesh</t>
  </si>
  <si>
    <t>P02-T10</t>
  </si>
  <si>
    <t>해당 없음</t>
  </si>
  <si>
    <t>검증 실행 완료</t>
  </si>
  <si>
    <t>후속 Phase 일반 2D screening baseline</t>
  </si>
  <si>
    <t>최종 채택: 일반 2D baseline</t>
  </si>
  <si>
    <t>Fine 대비 E-field 재현은 우수. GIDL/BTBT 절대값은 Fine reference와 함께 해석.</t>
  </si>
  <si>
    <t>P02-T10 추가 검증</t>
  </si>
  <si>
    <t>Reference-Local JunctionFine v1</t>
  </si>
  <si>
    <t>1조건 추가 검증</t>
  </si>
  <si>
    <t>Junction Mesh 추가 split 민감도 확인</t>
  </si>
  <si>
    <t>최종 적용 X / 기록 보존</t>
  </si>
  <si>
    <t>Mesh 생성은 성공했으나 GIDL sweep이 0 V 근처에서 수렴 실패하여 -0.4 V 미도달.</t>
  </si>
  <si>
    <t>색상</t>
  </si>
  <si>
    <t>의미</t>
  </si>
  <si>
    <t>녹색 행</t>
  </si>
  <si>
    <t>Fine 0.5 = 정밀 reference</t>
  </si>
  <si>
    <t>파란 행</t>
  </si>
  <si>
    <t>Local Mesh = 일반 2D baseline 최종 채택</t>
  </si>
  <si>
    <t>주황 행</t>
  </si>
  <si>
    <t>JunctionFine = 추가 split 검증, 최종 적용 X</t>
  </si>
  <si>
    <r>
      <t xml:space="preserve">P02-T09 </t>
    </r>
    <r>
      <rPr>
        <sz val="11"/>
        <rFont val="맑은 고딕"/>
        <family val="3"/>
        <charset val="129"/>
      </rPr>
      <t>저장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결과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재사용</t>
    </r>
    <r>
      <rPr>
        <sz val="11"/>
        <rFont val="Arial"/>
        <family val="2"/>
      </rPr>
      <t>. P02-T10</t>
    </r>
    <r>
      <rPr>
        <sz val="11"/>
        <rFont val="맑은 고딕"/>
        <family val="3"/>
        <charset val="129"/>
      </rPr>
      <t>에서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새로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계산하지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않음</t>
    </r>
    <r>
      <rPr>
        <sz val="11"/>
        <rFont val="Arial"/>
        <family val="2"/>
      </rPr>
      <t>.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</si>
</sst>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0E+00"/>
    <numFmt numFmtId="177" formatCode="\+0.00%;\-0.00%;0.00%"/>
  </numFmts>
  <fonts count="9">
    <font>
      <sz val="11"/>
      <name val="Carlito"/>
    </font>
    <font>
      <b/>
      <sz val="14"/>
      <color rgb="FFFFFFFF"/>
      <name val="Carlito"/>
    </font>
    <font>
      <i/>
      <sz val="11"/>
      <name val="Carlito"/>
    </font>
    <font>
      <b/>
      <sz val="11"/>
      <name val="Carlito"/>
    </font>
    <font>
      <b/>
      <sz val="11"/>
      <color rgb="FFFFFFFF"/>
      <name val="Carlito"/>
    </font>
    <font>
      <sz val="11"/>
      <name val="Carlito"/>
    </font>
    <font>
      <sz val="8"/>
      <name val="돋움"/>
      <family val="3"/>
      <charset val="129"/>
    </font>
    <font>
      <sz val="11"/>
      <name val="맑은 고딕"/>
      <family val="3"/>
      <charset val="129"/>
    </font>
    <font>
      <sz val="1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4472C4"/>
      </patternFill>
    </fill>
    <fill>
      <patternFill patternType="solid">
        <fgColor rgb="FFE2F0D9"/>
      </patternFill>
    </fill>
    <fill>
      <patternFill patternType="solid">
        <fgColor rgb="FFDDEBF7"/>
      </patternFill>
    </fill>
    <fill>
      <patternFill patternType="solid">
        <fgColor rgb="FFFCE4D6"/>
      </patternFill>
    </fill>
    <fill>
      <patternFill patternType="solid">
        <fgColor rgb="FF5B9BD5"/>
      </patternFill>
    </fill>
  </fills>
  <borders count="9">
    <border>
      <left/>
      <right/>
      <top/>
      <bottom/>
      <diagonal/>
    </border>
    <border>
      <left style="thin">
        <color rgb="FFB7B7B7"/>
      </left>
      <right/>
      <top style="thin">
        <color rgb="FFB7B7B7"/>
      </top>
      <bottom/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/>
      <top/>
      <bottom/>
      <diagonal/>
    </border>
    <border>
      <left/>
      <right style="thin">
        <color rgb="FFB7B7B7"/>
      </right>
      <top/>
      <bottom/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</borders>
  <cellStyleXfs count="2">
    <xf numFmtId="0" fontId="0" fillId="0" borderId="0"/>
    <xf numFmtId="0" fontId="5" fillId="0" borderId="0"/>
  </cellStyleXfs>
  <cellXfs count="45">
    <xf numFmtId="0" fontId="0" fillId="0" borderId="0" xfId="0"/>
    <xf numFmtId="0" fontId="4" fillId="5" borderId="1" xfId="1" applyNumberFormat="1" applyFont="1" applyFill="1" applyBorder="1" applyAlignment="1">
      <alignment horizontal="center" vertical="center" wrapText="1"/>
    </xf>
    <xf numFmtId="0" fontId="4" fillId="5" borderId="2" xfId="1" applyNumberFormat="1" applyFont="1" applyFill="1" applyBorder="1" applyAlignment="1">
      <alignment horizontal="center" vertical="center" wrapText="1"/>
    </xf>
    <xf numFmtId="0" fontId="4" fillId="5" borderId="3" xfId="1" applyNumberFormat="1" applyFont="1" applyFill="1" applyBorder="1" applyAlignment="1">
      <alignment horizontal="center" vertical="center" wrapText="1"/>
    </xf>
    <xf numFmtId="0" fontId="0" fillId="0" borderId="0" xfId="1" applyNumberFormat="1" applyFont="1" applyFill="1" applyBorder="1" applyAlignment="1">
      <alignment horizontal="center" vertical="center" wrapText="1"/>
    </xf>
    <xf numFmtId="176" fontId="0" fillId="0" borderId="0" xfId="1" applyNumberFormat="1" applyFont="1" applyFill="1" applyBorder="1" applyAlignment="1">
      <alignment horizontal="center" vertical="center" wrapText="1"/>
    </xf>
    <xf numFmtId="177" fontId="0" fillId="0" borderId="0" xfId="1" applyNumberFormat="1" applyFont="1" applyFill="1" applyBorder="1" applyAlignment="1">
      <alignment horizontal="center" vertical="center" wrapText="1"/>
    </xf>
    <xf numFmtId="2" fontId="0" fillId="0" borderId="0" xfId="1" applyNumberFormat="1" applyFont="1" applyFill="1" applyBorder="1" applyAlignment="1">
      <alignment horizontal="center" vertical="center" wrapText="1"/>
    </xf>
    <xf numFmtId="1" fontId="0" fillId="0" borderId="0" xfId="1" applyNumberFormat="1" applyFont="1" applyFill="1" applyBorder="1" applyAlignment="1">
      <alignment horizontal="center" vertical="center" wrapText="1"/>
    </xf>
    <xf numFmtId="0" fontId="0" fillId="6" borderId="0" xfId="1" applyNumberFormat="1" applyFont="1" applyFill="1" applyBorder="1" applyAlignment="1">
      <alignment horizontal="center" vertical="center" wrapText="1"/>
    </xf>
    <xf numFmtId="176" fontId="0" fillId="6" borderId="0" xfId="1" applyNumberFormat="1" applyFont="1" applyFill="1" applyBorder="1" applyAlignment="1">
      <alignment horizontal="center" vertical="center" wrapText="1"/>
    </xf>
    <xf numFmtId="177" fontId="0" fillId="6" borderId="0" xfId="1" applyNumberFormat="1" applyFont="1" applyFill="1" applyBorder="1" applyAlignment="1">
      <alignment horizontal="center" vertical="center" wrapText="1"/>
    </xf>
    <xf numFmtId="2" fontId="0" fillId="6" borderId="0" xfId="1" applyNumberFormat="1" applyFont="1" applyFill="1" applyBorder="1" applyAlignment="1">
      <alignment horizontal="center" vertical="center" wrapText="1"/>
    </xf>
    <xf numFmtId="1" fontId="0" fillId="6" borderId="0" xfId="1" applyNumberFormat="1" applyFont="1" applyFill="1" applyBorder="1" applyAlignment="1">
      <alignment horizontal="center" vertical="center" wrapText="1"/>
    </xf>
    <xf numFmtId="0" fontId="0" fillId="7" borderId="0" xfId="1" applyNumberFormat="1" applyFont="1" applyFill="1" applyBorder="1" applyAlignment="1">
      <alignment horizontal="center" vertical="center" wrapText="1"/>
    </xf>
    <xf numFmtId="176" fontId="0" fillId="7" borderId="0" xfId="1" applyNumberFormat="1" applyFont="1" applyFill="1" applyBorder="1" applyAlignment="1">
      <alignment horizontal="center" vertical="center" wrapText="1"/>
    </xf>
    <xf numFmtId="177" fontId="0" fillId="7" borderId="0" xfId="1" applyNumberFormat="1" applyFont="1" applyFill="1" applyBorder="1" applyAlignment="1">
      <alignment horizontal="center" vertical="center" wrapText="1"/>
    </xf>
    <xf numFmtId="2" fontId="0" fillId="7" borderId="0" xfId="1" applyNumberFormat="1" applyFont="1" applyFill="1" applyBorder="1" applyAlignment="1">
      <alignment horizontal="center" vertical="center" wrapText="1"/>
    </xf>
    <xf numFmtId="1" fontId="0" fillId="7" borderId="0" xfId="1" applyNumberFormat="1" applyFont="1" applyFill="1" applyBorder="1" applyAlignment="1">
      <alignment horizontal="center" vertical="center" wrapText="1"/>
    </xf>
    <xf numFmtId="0" fontId="0" fillId="8" borderId="7" xfId="1" applyNumberFormat="1" applyFont="1" applyFill="1" applyBorder="1" applyAlignment="1">
      <alignment horizontal="center" vertical="center" wrapText="1"/>
    </xf>
    <xf numFmtId="176" fontId="0" fillId="8" borderId="7" xfId="1" applyNumberFormat="1" applyFont="1" applyFill="1" applyBorder="1" applyAlignment="1">
      <alignment horizontal="center" vertical="center" wrapText="1"/>
    </xf>
    <xf numFmtId="177" fontId="0" fillId="8" borderId="7" xfId="1" applyNumberFormat="1" applyFont="1" applyFill="1" applyBorder="1" applyAlignment="1">
      <alignment horizontal="center" vertical="center" wrapText="1"/>
    </xf>
    <xf numFmtId="2" fontId="0" fillId="8" borderId="7" xfId="1" applyNumberFormat="1" applyFont="1" applyFill="1" applyBorder="1" applyAlignment="1">
      <alignment horizontal="center" vertical="center" wrapText="1"/>
    </xf>
    <xf numFmtId="1" fontId="0" fillId="8" borderId="7" xfId="1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4" xfId="1" applyNumberFormat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6" borderId="4" xfId="1" applyNumberFormat="1" applyFont="1" applyFill="1" applyBorder="1" applyAlignment="1">
      <alignment horizontal="center" vertical="center" wrapText="1"/>
    </xf>
    <xf numFmtId="0" fontId="0" fillId="6" borderId="5" xfId="1" applyNumberFormat="1" applyFont="1" applyFill="1" applyBorder="1" applyAlignment="1">
      <alignment horizontal="center" vertical="center" wrapText="1"/>
    </xf>
    <xf numFmtId="0" fontId="0" fillId="7" borderId="4" xfId="1" applyNumberFormat="1" applyFont="1" applyFill="1" applyBorder="1" applyAlignment="1">
      <alignment horizontal="center" vertical="center" wrapText="1"/>
    </xf>
    <xf numFmtId="0" fontId="0" fillId="7" borderId="5" xfId="1" applyNumberFormat="1" applyFont="1" applyFill="1" applyBorder="1" applyAlignment="1">
      <alignment horizontal="center" vertical="center" wrapText="1"/>
    </xf>
    <xf numFmtId="0" fontId="0" fillId="8" borderId="6" xfId="1" applyNumberFormat="1" applyFont="1" applyFill="1" applyBorder="1" applyAlignment="1">
      <alignment horizontal="center" vertical="center" wrapText="1"/>
    </xf>
    <xf numFmtId="0" fontId="0" fillId="8" borderId="8" xfId="1" applyNumberFormat="1" applyFont="1" applyFill="1" applyBorder="1" applyAlignment="1">
      <alignment horizontal="center" vertical="center" wrapText="1"/>
    </xf>
    <xf numFmtId="0" fontId="4" fillId="9" borderId="1" xfId="1" applyNumberFormat="1" applyFont="1" applyFill="1" applyBorder="1" applyAlignment="1">
      <alignment horizontal="center" wrapText="1"/>
    </xf>
    <xf numFmtId="0" fontId="4" fillId="9" borderId="3" xfId="1" applyNumberFormat="1" applyFont="1" applyFill="1" applyBorder="1" applyAlignment="1">
      <alignment horizontal="center" wrapText="1"/>
    </xf>
    <xf numFmtId="0" fontId="0" fillId="6" borderId="4" xfId="1" applyNumberFormat="1" applyFont="1" applyFill="1" applyBorder="1" applyAlignment="1">
      <alignment horizontal="center" wrapText="1"/>
    </xf>
    <xf numFmtId="0" fontId="0" fillId="6" borderId="5" xfId="1" applyNumberFormat="1" applyFont="1" applyFill="1" applyBorder="1" applyAlignment="1">
      <alignment horizontal="center" wrapText="1"/>
    </xf>
    <xf numFmtId="0" fontId="0" fillId="7" borderId="4" xfId="1" applyNumberFormat="1" applyFont="1" applyFill="1" applyBorder="1" applyAlignment="1">
      <alignment horizontal="center" wrapText="1"/>
    </xf>
    <xf numFmtId="0" fontId="0" fillId="7" borderId="5" xfId="1" applyNumberFormat="1" applyFont="1" applyFill="1" applyBorder="1" applyAlignment="1">
      <alignment horizontal="center" wrapText="1"/>
    </xf>
    <xf numFmtId="0" fontId="0" fillId="8" borderId="6" xfId="1" applyNumberFormat="1" applyFont="1" applyFill="1" applyBorder="1" applyAlignment="1">
      <alignment horizontal="center" wrapText="1"/>
    </xf>
    <xf numFmtId="0" fontId="0" fillId="8" borderId="8" xfId="1" applyNumberFormat="1" applyFont="1" applyFill="1" applyBorder="1" applyAlignment="1">
      <alignment horizontal="center" wrapText="1"/>
    </xf>
    <xf numFmtId="0" fontId="1" fillId="2" borderId="0" xfId="1" applyNumberFormat="1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2" fillId="3" borderId="0" xfId="1" applyNumberFormat="1" applyFont="1" applyFill="1" applyBorder="1" applyAlignment="1">
      <alignment horizontal="left" vertical="center" wrapText="1"/>
    </xf>
    <xf numFmtId="0" fontId="3" fillId="4" borderId="0" xfId="1" applyNumberFormat="1" applyFont="1" applyFill="1" applyBorder="1" applyAlignment="1">
      <alignment horizontal="left" vertical="center" wrapText="1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"/>
  <sheetViews>
    <sheetView tabSelected="1" workbookViewId="0">
      <selection activeCell="A3" sqref="A3:M3"/>
    </sheetView>
  </sheetViews>
  <sheetFormatPr defaultRowHeight="14.25"/>
  <cols>
    <col min="1" max="1" width="18" style="24" customWidth="1"/>
    <col min="2" max="2" width="52" style="24" customWidth="1"/>
    <col min="3" max="3" width="12" style="24" customWidth="1"/>
    <col min="4" max="4" width="19" style="24" customWidth="1"/>
    <col min="5" max="5" width="19.625" style="24" customWidth="1"/>
    <col min="6" max="6" width="31.5" style="24" customWidth="1"/>
    <col min="7" max="7" width="21" style="24" customWidth="1"/>
    <col min="8" max="8" width="19" style="24" customWidth="1"/>
    <col min="9" max="9" width="14" style="24" customWidth="1"/>
    <col min="10" max="10" width="13" style="24" customWidth="1"/>
    <col min="11" max="11" width="12" style="24" customWidth="1"/>
    <col min="12" max="12" width="31" style="24" customWidth="1"/>
    <col min="13" max="13" width="48" style="24" customWidth="1"/>
    <col min="14" max="16384" width="9" style="24"/>
  </cols>
  <sheetData>
    <row r="1" spans="1:13" s="42" customFormat="1" ht="27.95" customHeight="1">
      <c r="A1" s="41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</row>
    <row r="2" spans="1:13" s="42" customFormat="1" ht="42" customHeight="1">
      <c r="A2" s="43" t="s">
        <v>1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</row>
    <row r="3" spans="1:13" s="42" customFormat="1" ht="33.950000000000003" customHeight="1">
      <c r="A3" s="44" t="s">
        <v>2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</row>
    <row r="5" spans="1:13" ht="33.950000000000003" customHeight="1">
      <c r="A5" s="1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3" t="s">
        <v>15</v>
      </c>
    </row>
    <row r="6" spans="1:13" ht="57.95" customHeight="1">
      <c r="A6" s="25" t="s">
        <v>16</v>
      </c>
      <c r="B6" s="4" t="s">
        <v>17</v>
      </c>
      <c r="C6" s="4" t="s">
        <v>18</v>
      </c>
      <c r="D6" s="4" t="s">
        <v>19</v>
      </c>
      <c r="E6" s="4" t="s">
        <v>20</v>
      </c>
      <c r="F6" s="4" t="s">
        <v>21</v>
      </c>
      <c r="G6" s="5">
        <v>3.2709899999999999E-14</v>
      </c>
      <c r="H6" s="6">
        <f>IF(OR(G6="",G$8=""),"",G6/G$8-1)</f>
        <v>0.33472205786941633</v>
      </c>
      <c r="I6" s="7"/>
      <c r="J6" s="8"/>
      <c r="K6" s="8"/>
      <c r="L6" s="4" t="s">
        <v>22</v>
      </c>
      <c r="M6" s="26" t="s">
        <v>53</v>
      </c>
    </row>
    <row r="7" spans="1:13" ht="57.95" customHeight="1">
      <c r="A7" s="25" t="s">
        <v>16</v>
      </c>
      <c r="B7" s="4" t="s">
        <v>23</v>
      </c>
      <c r="C7" s="4" t="s">
        <v>18</v>
      </c>
      <c r="D7" s="4" t="s">
        <v>19</v>
      </c>
      <c r="E7" s="4" t="s">
        <v>20</v>
      </c>
      <c r="F7" s="4" t="s">
        <v>24</v>
      </c>
      <c r="G7" s="5">
        <v>2.92056E-14</v>
      </c>
      <c r="H7" s="6">
        <f>IF(OR(G7="",G$8=""),"",G7/G$8-1)</f>
        <v>0.19172967613202796</v>
      </c>
      <c r="I7" s="7">
        <v>321.39999999999998</v>
      </c>
      <c r="J7" s="8"/>
      <c r="K7" s="8"/>
      <c r="L7" s="4" t="s">
        <v>25</v>
      </c>
      <c r="M7" s="26" t="s">
        <v>26</v>
      </c>
    </row>
    <row r="8" spans="1:13" ht="57.95" customHeight="1">
      <c r="A8" s="27" t="s">
        <v>16</v>
      </c>
      <c r="B8" s="9" t="s">
        <v>27</v>
      </c>
      <c r="C8" s="9" t="s">
        <v>18</v>
      </c>
      <c r="D8" s="9" t="s">
        <v>19</v>
      </c>
      <c r="E8" s="9" t="s">
        <v>20</v>
      </c>
      <c r="F8" s="9" t="s">
        <v>28</v>
      </c>
      <c r="G8" s="10">
        <v>2.4506900000000001E-14</v>
      </c>
      <c r="H8" s="11">
        <f>IF(OR(G8="",G$8=""),"",G8/G$8-1)</f>
        <v>0</v>
      </c>
      <c r="I8" s="12">
        <v>1008.88</v>
      </c>
      <c r="J8" s="13">
        <v>2843</v>
      </c>
      <c r="K8" s="13">
        <v>5430</v>
      </c>
      <c r="L8" s="9" t="s">
        <v>29</v>
      </c>
      <c r="M8" s="28" t="s">
        <v>30</v>
      </c>
    </row>
    <row r="9" spans="1:13" ht="57.95" customHeight="1">
      <c r="A9" s="29" t="s">
        <v>31</v>
      </c>
      <c r="B9" s="14" t="s">
        <v>32</v>
      </c>
      <c r="C9" s="14" t="s">
        <v>33</v>
      </c>
      <c r="D9" s="14" t="s">
        <v>34</v>
      </c>
      <c r="E9" s="14" t="s">
        <v>35</v>
      </c>
      <c r="F9" s="14" t="s">
        <v>36</v>
      </c>
      <c r="G9" s="15">
        <v>2.9398499999999998E-14</v>
      </c>
      <c r="H9" s="16">
        <f>IF(OR(G9="",G$8=""),"",G9/G$8-1)</f>
        <v>0.19960092871803448</v>
      </c>
      <c r="I9" s="17">
        <v>668.94</v>
      </c>
      <c r="J9" s="18">
        <v>1825</v>
      </c>
      <c r="K9" s="18">
        <v>3454</v>
      </c>
      <c r="L9" s="14" t="s">
        <v>37</v>
      </c>
      <c r="M9" s="30" t="s">
        <v>38</v>
      </c>
    </row>
    <row r="10" spans="1:13" ht="57.95" customHeight="1">
      <c r="A10" s="31" t="s">
        <v>39</v>
      </c>
      <c r="B10" s="19" t="s">
        <v>40</v>
      </c>
      <c r="C10" s="19" t="s">
        <v>33</v>
      </c>
      <c r="D10" s="19" t="s">
        <v>34</v>
      </c>
      <c r="E10" s="19" t="s">
        <v>41</v>
      </c>
      <c r="F10" s="19" t="s">
        <v>42</v>
      </c>
      <c r="G10" s="20"/>
      <c r="H10" s="21"/>
      <c r="I10" s="22">
        <v>3087.76</v>
      </c>
      <c r="J10" s="23">
        <v>2424</v>
      </c>
      <c r="K10" s="23">
        <v>4630</v>
      </c>
      <c r="L10" s="19" t="s">
        <v>43</v>
      </c>
      <c r="M10" s="32" t="s">
        <v>44</v>
      </c>
    </row>
    <row r="12" spans="1:13" ht="15">
      <c r="A12" s="33" t="s">
        <v>45</v>
      </c>
      <c r="B12" s="34" t="s">
        <v>46</v>
      </c>
    </row>
    <row r="13" spans="1:13">
      <c r="A13" s="35" t="s">
        <v>47</v>
      </c>
      <c r="B13" s="36" t="s">
        <v>48</v>
      </c>
    </row>
    <row r="14" spans="1:13">
      <c r="A14" s="37" t="s">
        <v>49</v>
      </c>
      <c r="B14" s="38" t="s">
        <v>50</v>
      </c>
    </row>
    <row r="15" spans="1:13">
      <c r="A15" s="39" t="s">
        <v>51</v>
      </c>
      <c r="B15" s="40" t="s">
        <v>52</v>
      </c>
    </row>
  </sheetData>
  <mergeCells count="3">
    <mergeCell ref="A1:M1"/>
    <mergeCell ref="A2:M2"/>
    <mergeCell ref="A3:M3"/>
  </mergeCells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Reuse_Scope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ece</cp:lastModifiedBy>
  <dcterms:modified xsi:type="dcterms:W3CDTF">2026-08-11T02:55:50Z</dcterms:modified>
</cp:coreProperties>
</file>